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erald\Downloads\"/>
    </mc:Choice>
  </mc:AlternateContent>
  <xr:revisionPtr revIDLastSave="0" documentId="8_{090E94FB-A3AB-4E97-A851-E1169E55DADA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Data Sorting" sheetId="1" r:id="rId1"/>
    <sheet name="Data Filtering" sheetId="2" r:id="rId2"/>
    <sheet name="Conditional Format" sheetId="3" r:id="rId3"/>
    <sheet name="Data Validation" sheetId="4" r:id="rId4"/>
    <sheet name="COUNTIFS &amp; SUMIFS - Part 1" sheetId="5" r:id="rId5"/>
    <sheet name="COUNTIFS &amp; SUMIFS - Part 2" sheetId="6" r:id="rId6"/>
    <sheet name="VLOOKUP" sheetId="7" r:id="rId7"/>
    <sheet name="IF Functions" sheetId="8" r:id="rId8"/>
    <sheet name="BONUS" sheetId="9" r:id="rId9"/>
  </sheets>
  <definedNames>
    <definedName name="_xlnm._FilterDatabase" localSheetId="1" hidden="1">'Data Filtering'!$B$4:$D$105</definedName>
    <definedName name="Z_5F63C1CD_FD94_4F9D_9C59_41870CC293E9_.wvu.FilterData" localSheetId="0" hidden="1">'Data Sorting'!$B$4:$D$90</definedName>
  </definedNames>
  <calcPr calcId="191029"/>
  <customWorkbookViews>
    <customWorkbookView name="Filter 1" guid="{5F63C1CD-FD94-4F9D-9C59-41870CC293E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62PJecPEpqxMx9piKFmnBWPNagIXlkt4ge+57terDWs="/>
    </ext>
  </extLst>
</workbook>
</file>

<file path=xl/calcChain.xml><?xml version="1.0" encoding="utf-8"?>
<calcChain xmlns="http://schemas.openxmlformats.org/spreadsheetml/2006/main">
  <c r="Q20" i="5" l="1"/>
  <c r="Q21" i="5"/>
  <c r="Q22" i="5"/>
  <c r="Q19" i="5"/>
  <c r="Q23" i="5" s="1"/>
  <c r="P20" i="5"/>
  <c r="P21" i="5"/>
  <c r="P22" i="5"/>
  <c r="P19" i="5"/>
  <c r="N20" i="5"/>
  <c r="N21" i="5"/>
  <c r="N22" i="5"/>
  <c r="N19" i="5"/>
  <c r="O19" i="5"/>
  <c r="O23" i="5" s="1"/>
  <c r="O20" i="5"/>
  <c r="O21" i="5"/>
  <c r="O22" i="5"/>
  <c r="O7" i="5"/>
  <c r="N7" i="5"/>
  <c r="G37" i="8"/>
  <c r="G38" i="8"/>
  <c r="G39" i="8"/>
  <c r="G40" i="8"/>
  <c r="G41" i="8"/>
  <c r="G36" i="8"/>
  <c r="D23" i="8"/>
  <c r="D24" i="8"/>
  <c r="D25" i="8"/>
  <c r="D26" i="8"/>
  <c r="D27" i="8"/>
  <c r="D22" i="8"/>
  <c r="D11" i="8"/>
  <c r="D12" i="8"/>
  <c r="D13" i="8"/>
  <c r="D10" i="8"/>
  <c r="E9" i="7"/>
  <c r="E8" i="7"/>
  <c r="E7" i="7"/>
  <c r="E6" i="7"/>
  <c r="I17" i="6"/>
  <c r="N8" i="5"/>
  <c r="N9" i="5"/>
  <c r="N10" i="5"/>
  <c r="N11" i="5"/>
  <c r="N12" i="5"/>
  <c r="N13" i="5"/>
  <c r="I16" i="6"/>
  <c r="I15" i="6"/>
  <c r="I7" i="6"/>
  <c r="I6" i="6"/>
  <c r="I5" i="6"/>
  <c r="Q8" i="5"/>
  <c r="Q9" i="5"/>
  <c r="Q10" i="5"/>
  <c r="Q11" i="5"/>
  <c r="Q12" i="5"/>
  <c r="Q13" i="5"/>
  <c r="Q7" i="5"/>
  <c r="P8" i="5"/>
  <c r="P9" i="5"/>
  <c r="P10" i="5"/>
  <c r="P11" i="5"/>
  <c r="P12" i="5"/>
  <c r="P13" i="5"/>
  <c r="P7" i="5"/>
  <c r="O8" i="5"/>
  <c r="O9" i="5"/>
  <c r="O10" i="5"/>
  <c r="O11" i="5"/>
  <c r="O12" i="5"/>
  <c r="O13" i="5"/>
  <c r="P23" i="5" l="1"/>
  <c r="N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Emerald</author>
  </authors>
  <commentList>
    <comment ref="B5" authorId="0" shapeId="0" xr:uid="{4E16029A-F9B4-42D8-B3BF-5A27411A68C9}">
      <text>
        <r>
          <rPr>
            <b/>
            <sz val="9"/>
            <color indexed="81"/>
            <rFont val="Tahoma"/>
            <family val="2"/>
          </rPr>
          <t>Emerald:</t>
        </r>
        <r>
          <rPr>
            <sz val="9"/>
            <color indexed="81"/>
            <rFont val="Tahoma"/>
            <family val="2"/>
          </rPr>
          <t xml:space="preserve">
The egg came first</t>
        </r>
      </text>
    </comment>
    <comment ref="F10" authorId="0" shapeId="0" xr:uid="{C2755CDB-3CF3-4004-A325-13A0B258BC4C}">
      <text>
        <r>
          <rPr>
            <b/>
            <sz val="9"/>
            <color indexed="81"/>
            <rFont val="Tahoma"/>
            <family val="2"/>
          </rPr>
          <t>Emerald:</t>
        </r>
        <r>
          <rPr>
            <sz val="9"/>
            <color indexed="81"/>
            <rFont val="Tahoma"/>
            <family val="2"/>
          </rPr>
          <t xml:space="preserve">
The egg came first</t>
        </r>
      </text>
    </comment>
  </commentList>
</comments>
</file>

<file path=xl/sharedStrings.xml><?xml version="1.0" encoding="utf-8"?>
<sst xmlns="http://schemas.openxmlformats.org/spreadsheetml/2006/main" count="949" uniqueCount="228">
  <si>
    <t xml:space="preserve"> </t>
  </si>
  <si>
    <t>Sort the table below according to batch number and agent name.</t>
  </si>
  <si>
    <t>Agent</t>
  </si>
  <si>
    <t>Batch</t>
  </si>
  <si>
    <t>Supervisor</t>
  </si>
  <si>
    <t>Fransel Isaguirre</t>
  </si>
  <si>
    <t>Brian Keith Santos</t>
  </si>
  <si>
    <t>Christine Joy Gapasin</t>
  </si>
  <si>
    <t>Kathy Diche</t>
  </si>
  <si>
    <t>Khristine Marie Omecillo</t>
  </si>
  <si>
    <t>Rey Benedict Ong</t>
  </si>
  <si>
    <t>Valerie Lorraine Factor</t>
  </si>
  <si>
    <t>Carlos Gerard Enriquez</t>
  </si>
  <si>
    <t>Richmond Cheng</t>
  </si>
  <si>
    <t>Cristine Flamiano</t>
  </si>
  <si>
    <t>Dani Rose Soan</t>
  </si>
  <si>
    <t>Don Enrico Benosa</t>
  </si>
  <si>
    <t>Roam Rei Pimentel</t>
  </si>
  <si>
    <t>Jose Marie Bonifacio</t>
  </si>
  <si>
    <t>Emmalyn Lourdes Dino</t>
  </si>
  <si>
    <t>Ryan Paul De Jesus</t>
  </si>
  <si>
    <t>Enon Ronald Dizon</t>
  </si>
  <si>
    <t>Farah Bautista</t>
  </si>
  <si>
    <t>John Arthur Fernandez</t>
  </si>
  <si>
    <t>Anna Karina Uy</t>
  </si>
  <si>
    <t>Enrique Fernandez</t>
  </si>
  <si>
    <t>Gian Carlo Igna</t>
  </si>
  <si>
    <t>Hannah Paul Alonsagay</t>
  </si>
  <si>
    <t>Jani Zeth Ubalde</t>
  </si>
  <si>
    <t>Joar Michael Rivera</t>
  </si>
  <si>
    <t>Jose Caramanzana</t>
  </si>
  <si>
    <t>Joseph Maynardo Mababa</t>
  </si>
  <si>
    <t>Juan Paolo Camalla</t>
  </si>
  <si>
    <t>Marie Antoinette Serra</t>
  </si>
  <si>
    <t>Mark Anthony Belaniso</t>
  </si>
  <si>
    <t>Melita Parulana</t>
  </si>
  <si>
    <t>Oscar Niebres</t>
  </si>
  <si>
    <t>Richard Burgas</t>
  </si>
  <si>
    <t>Andronil Jordan</t>
  </si>
  <si>
    <t>Margaret Abenales</t>
  </si>
  <si>
    <t>Joan Bobila</t>
  </si>
  <si>
    <t>Avan Carlos</t>
  </si>
  <si>
    <t>Michelle Tubil</t>
  </si>
  <si>
    <t>Marlyn Marcelo</t>
  </si>
  <si>
    <t>Czar Salvaleon</t>
  </si>
  <si>
    <t>Dona Elisha Ycaro</t>
  </si>
  <si>
    <t>Emelita Santos</t>
  </si>
  <si>
    <t>Frauline De Jesus</t>
  </si>
  <si>
    <t>Jean Marah Beñeza</t>
  </si>
  <si>
    <t>Jeremy Pahati</t>
  </si>
  <si>
    <t>Jose Luis Abellon</t>
  </si>
  <si>
    <t>Marie Karl Desamparado</t>
  </si>
  <si>
    <t>Natalie Kris Mangmang</t>
  </si>
  <si>
    <t>Raymond Dela Cruz Cabrera</t>
  </si>
  <si>
    <t>Rowena Baby Ganipis</t>
  </si>
  <si>
    <t>Joel Tolentino</t>
  </si>
  <si>
    <t>Filipinas Albarico</t>
  </si>
  <si>
    <t>Royce Roy Martinez</t>
  </si>
  <si>
    <t>Andrie Jeremy Formanez</t>
  </si>
  <si>
    <t>Francia Lailanie Merene</t>
  </si>
  <si>
    <t>Gerald Nario</t>
  </si>
  <si>
    <t>Jeridan Mejia</t>
  </si>
  <si>
    <t>Mariamne Pilapil</t>
  </si>
  <si>
    <t>Maritoni Tolentino</t>
  </si>
  <si>
    <t>Mia Mulingtapang</t>
  </si>
  <si>
    <t>Benj-Nizar Bangahan</t>
  </si>
  <si>
    <t>Hershey Cruz</t>
  </si>
  <si>
    <t>Jan Maiad Trampe</t>
  </si>
  <si>
    <t>Annie Magullado</t>
  </si>
  <si>
    <t>Ma. Gracia Latosa</t>
  </si>
  <si>
    <t>Ritz Michael Jumola</t>
  </si>
  <si>
    <t>Nore-Lyn Lim</t>
  </si>
  <si>
    <t>Bryan Edward Tan</t>
  </si>
  <si>
    <t>Abzalom Blanco</t>
  </si>
  <si>
    <t>Jennifer Garcia</t>
  </si>
  <si>
    <t>Ana Marie Aguilera</t>
  </si>
  <si>
    <t>Maria Elena Paune</t>
  </si>
  <si>
    <t>Cherry Anne Torres</t>
  </si>
  <si>
    <t>Hughland Gutierrez</t>
  </si>
  <si>
    <t>Jose Nilo Prieto</t>
  </si>
  <si>
    <t>Mariton Gonzales</t>
  </si>
  <si>
    <t>Erika May Diaz</t>
  </si>
  <si>
    <t>Rosemarie Soriano</t>
  </si>
  <si>
    <t>Benjie Roxas</t>
  </si>
  <si>
    <t>Katherine Funtanilla</t>
  </si>
  <si>
    <t>Cherryl Reyes</t>
  </si>
  <si>
    <t>Donnah Dizon</t>
  </si>
  <si>
    <t xml:space="preserve">Ma. Cresencia Romelle Bondoc </t>
  </si>
  <si>
    <t>Jesette Juna Rubio</t>
  </si>
  <si>
    <t>Esmeraldo Gayoso</t>
  </si>
  <si>
    <t>Nilda Aurora Pinaroc</t>
  </si>
  <si>
    <t>Gehan Rivera</t>
  </si>
  <si>
    <t>Ma. Katrina Concepcion Jose</t>
  </si>
  <si>
    <t>Ma. Melina Maddela</t>
  </si>
  <si>
    <t>Maricel Cajilig</t>
  </si>
  <si>
    <t>Denise Jennifer Banzon</t>
  </si>
  <si>
    <t>Lou Marinel Sta. Maria</t>
  </si>
  <si>
    <t>Data Filter:</t>
  </si>
  <si>
    <t>Using the Data Filter tool, display all agent names under Supervisor Jennifer Garcia</t>
  </si>
  <si>
    <t>Albert Roy Lechuga</t>
  </si>
  <si>
    <t>12B</t>
  </si>
  <si>
    <t>Annabel Antonsen</t>
  </si>
  <si>
    <t>Cecil Hizola</t>
  </si>
  <si>
    <t>Christopher Escarte</t>
  </si>
  <si>
    <t>Deviena Philipine Esposo</t>
  </si>
  <si>
    <t>Divina Furigay</t>
  </si>
  <si>
    <t>Jade Clave</t>
  </si>
  <si>
    <t>Jessica Panes</t>
  </si>
  <si>
    <t>Karla Lameseria</t>
  </si>
  <si>
    <t>Maria Angeli De Leon</t>
  </si>
  <si>
    <t>Emmanuel Fandino</t>
  </si>
  <si>
    <t>Lance Rom</t>
  </si>
  <si>
    <t>Mae Rachel Corpin</t>
  </si>
  <si>
    <t>Matt Jaybee Fortuna</t>
  </si>
  <si>
    <t>Teresa Florentino</t>
  </si>
  <si>
    <t>Use the conditional formatting to represent the following data:</t>
  </si>
  <si>
    <t>Agent Name</t>
  </si>
  <si>
    <t>AHT (min)</t>
  </si>
  <si>
    <t>QA Scores
(%)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</si>
  <si>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</si>
  <si>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</si>
  <si>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</si>
  <si>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</si>
  <si>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</si>
  <si>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</si>
  <si>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</si>
  <si>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</si>
  <si>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</si>
  <si>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</si>
  <si>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</si>
  <si>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</si>
  <si>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</si>
  <si>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</si>
  <si>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</si>
  <si>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Green</t>
  </si>
  <si>
    <t>Exceeds Target</t>
  </si>
  <si>
    <t>Red</t>
  </si>
  <si>
    <t>Below Target</t>
  </si>
  <si>
    <t>a. Target for AHT is &lt;= 5 min.</t>
  </si>
  <si>
    <t>b. Target for QA Score is &gt;= 83%</t>
  </si>
  <si>
    <t>4. Use Data Validation to list down the Types of Leave incurred by the agents</t>
  </si>
  <si>
    <t>Types of Leaves</t>
  </si>
  <si>
    <t>VL</t>
  </si>
  <si>
    <t>SL</t>
  </si>
  <si>
    <t>VLWOP</t>
  </si>
  <si>
    <t>SLWOP</t>
  </si>
  <si>
    <t>PL/ML</t>
  </si>
  <si>
    <t>MID</t>
  </si>
  <si>
    <t>Company</t>
  </si>
  <si>
    <t>Report Date</t>
  </si>
  <si>
    <t>CC#</t>
  </si>
  <si>
    <t>Transaction Date</t>
  </si>
  <si>
    <t>Amount</t>
  </si>
  <si>
    <t>Order ID</t>
  </si>
  <si>
    <t>Case ID</t>
  </si>
  <si>
    <t>Comment</t>
  </si>
  <si>
    <t>Discounts</t>
  </si>
  <si>
    <t>444444xxxxxx1234</t>
  </si>
  <si>
    <t>Alert</t>
  </si>
  <si>
    <t>Magazines</t>
  </si>
  <si>
    <t>Chargebacks</t>
  </si>
  <si>
    <t>Chargebacks ($)</t>
  </si>
  <si>
    <t>Alerts</t>
  </si>
  <si>
    <t>Alerts ($)</t>
  </si>
  <si>
    <t>ID</t>
  </si>
  <si>
    <t>Pets</t>
  </si>
  <si>
    <t>Total</t>
  </si>
  <si>
    <r>
      <rPr>
        <sz val="11"/>
        <color theme="1"/>
        <rFont val="Calibri"/>
        <family val="2"/>
      </rPr>
      <t>2. The Company wants to know how many chargebacks &amp; alerts they receive and also the total amount of the transactionson ($) for every</t>
    </r>
    <r>
      <rPr>
        <b/>
        <sz val="11"/>
        <color theme="1"/>
        <rFont val="Calibri"/>
        <family val="2"/>
      </rPr>
      <t xml:space="preserve"> Company</t>
    </r>
    <r>
      <rPr>
        <sz val="11"/>
        <color theme="1"/>
        <rFont val="Calibri"/>
        <family val="2"/>
      </rPr>
      <t>.</t>
    </r>
  </si>
  <si>
    <t>555555xxxxxx1234</t>
  </si>
  <si>
    <t>Chargeback</t>
  </si>
  <si>
    <t>Order#</t>
  </si>
  <si>
    <t>Tran Date</t>
  </si>
  <si>
    <t>Transaction Type</t>
  </si>
  <si>
    <t>Sales Center</t>
  </si>
  <si>
    <t>CC</t>
  </si>
  <si>
    <t>Vikings</t>
  </si>
  <si>
    <t>PAC</t>
  </si>
  <si>
    <t>Bears</t>
  </si>
  <si>
    <r>
      <rPr>
        <sz val="10"/>
        <color theme="1"/>
        <rFont val="Arial"/>
        <family val="2"/>
      </rPr>
      <t xml:space="preserve">Using </t>
    </r>
    <r>
      <rPr>
        <b/>
        <sz val="10"/>
        <color theme="1"/>
        <rFont val="Arial"/>
        <family val="2"/>
      </rPr>
      <t>COUNTIFS</t>
    </r>
  </si>
  <si>
    <t>Tigers</t>
  </si>
  <si>
    <t>Answer</t>
  </si>
  <si>
    <t>1. How many Orders are from the Vikings Sales Center?</t>
  </si>
  <si>
    <t>2. How may transactions are payed with CC?</t>
  </si>
  <si>
    <t>3. How many Orders are from Bears that were paid using PAC?</t>
  </si>
  <si>
    <r>
      <rPr>
        <sz val="10"/>
        <color theme="1"/>
        <rFont val="Arial"/>
        <family val="2"/>
      </rPr>
      <t xml:space="preserve">Using </t>
    </r>
    <r>
      <rPr>
        <b/>
        <sz val="10"/>
        <color theme="1"/>
        <rFont val="Arial"/>
        <family val="2"/>
      </rPr>
      <t>SUMIFS</t>
    </r>
  </si>
  <si>
    <t xml:space="preserve">1. What is the total amount collected by Bears? </t>
  </si>
  <si>
    <t>2. What is the total Amount Collected by Vikings using CC?</t>
  </si>
  <si>
    <r>
      <rPr>
        <sz val="10"/>
        <color theme="1"/>
        <rFont val="Arial"/>
        <family val="2"/>
      </rPr>
      <t xml:space="preserve">3. What is the total amount Collected by Tigers using PAC between </t>
    </r>
    <r>
      <rPr>
        <b/>
        <sz val="10"/>
        <color theme="1"/>
        <rFont val="Arial"/>
        <family val="2"/>
      </rPr>
      <t>May 5th, 2023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May 25th, 2023</t>
    </r>
    <r>
      <rPr>
        <sz val="10"/>
        <color theme="1"/>
        <rFont val="Arial"/>
        <family val="2"/>
      </rPr>
      <t>?</t>
    </r>
  </si>
  <si>
    <t>Eagles</t>
  </si>
  <si>
    <t>Using VLOOKUP</t>
  </si>
  <si>
    <r>
      <rPr>
        <sz val="10"/>
        <color theme="1"/>
        <rFont val="Arial"/>
        <family val="2"/>
      </rPr>
      <t xml:space="preserve">Use </t>
    </r>
    <r>
      <rPr>
        <b/>
        <sz val="10"/>
        <color theme="1"/>
        <rFont val="Arial"/>
        <family val="2"/>
      </rPr>
      <t xml:space="preserve">VLOOKUP </t>
    </r>
    <r>
      <rPr>
        <sz val="10"/>
        <color theme="1"/>
        <rFont val="Arial"/>
        <family val="2"/>
      </rPr>
      <t xml:space="preserve">function to answer the following questions from the Table from </t>
    </r>
    <r>
      <rPr>
        <b/>
        <sz val="10"/>
        <color theme="1"/>
        <rFont val="Arial"/>
        <family val="2"/>
      </rPr>
      <t>COUNTIFS &amp; SUMIFS - Part 2</t>
    </r>
  </si>
  <si>
    <t>Question</t>
  </si>
  <si>
    <t>Order</t>
  </si>
  <si>
    <t>a. What is the Sales Center of the followin Order #?</t>
  </si>
  <si>
    <t>b. What is the Payment Method of Order #?</t>
  </si>
  <si>
    <t>c. What is the Transaction Date of Order #?</t>
  </si>
  <si>
    <t>d. What is the Sales Center for Order #?</t>
  </si>
  <si>
    <t>IF function</t>
  </si>
  <si>
    <t>1. Use the IF function to answer the columns "Order placed" and "# of units ordered"</t>
  </si>
  <si>
    <t>For each agent, they need to have a monthly monitor count of at least 4 monitors. Place a "No" under Monitoring # met if its less than 4. "Yes" if greater than or equal to 4.</t>
  </si>
  <si>
    <t># of Monitors</t>
  </si>
  <si>
    <t>Monitoring # met?</t>
  </si>
  <si>
    <t>John</t>
  </si>
  <si>
    <t>Sharon</t>
  </si>
  <si>
    <t>Natalie</t>
  </si>
  <si>
    <t>Nelissa</t>
  </si>
  <si>
    <t>Nested IF function w/ AND function</t>
  </si>
  <si>
    <t>2. Use the IF function to get the Grade on the scenario below:</t>
  </si>
  <si>
    <t>Each agent gets an A (if score is 90% or above), S for satisfactory (if score</t>
  </si>
  <si>
    <t>if 60% or above but less than 90%) or U for unsatisfactory if score is below 60%</t>
  </si>
  <si>
    <t>CSAT Score</t>
  </si>
  <si>
    <t>Rating</t>
  </si>
  <si>
    <t>Using IF function w/ OR function</t>
  </si>
  <si>
    <t>3. Use IF with OR Function to get the results below:</t>
  </si>
  <si>
    <t>1) Any agent who scores at least 95 on any of the monitors gets a bonus</t>
  </si>
  <si>
    <t>which is 1% of their total score.</t>
  </si>
  <si>
    <t>QA Accuracy 1</t>
  </si>
  <si>
    <t>QA Accuracy 2</t>
  </si>
  <si>
    <t>QA Accuracy 3</t>
  </si>
  <si>
    <t>QA Accuracy 4</t>
  </si>
  <si>
    <t>Bonus</t>
  </si>
  <si>
    <t>BONUS QUESTION:</t>
  </si>
  <si>
    <t>Which came first, chicken or egg?</t>
  </si>
  <si>
    <t>* Place your answer to the question in a comment.</t>
  </si>
  <si>
    <t>* Show / display your answer.</t>
  </si>
  <si>
    <r>
      <t>1. The Company wants to know how many chargebacks &amp; alerts they receive and also the total amount of the transactionson ($) for every</t>
    </r>
    <r>
      <rPr>
        <b/>
        <sz val="11"/>
        <color theme="1"/>
        <rFont val="Calibri"/>
        <family val="2"/>
      </rPr>
      <t xml:space="preserve"> MID (Merchant ID)</t>
    </r>
  </si>
  <si>
    <t>The egg came first</t>
  </si>
  <si>
    <t>AgeC7:L22nt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</si>
</sst>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217437"/>
      <name val="Arial"/>
      <family val="2"/>
    </font>
    <font>
      <b/>
      <sz val="10"/>
      <color rgb="FFFF0000"/>
      <name val="Arial"/>
      <family val="2"/>
    </font>
    <font>
      <b/>
      <sz val="12"/>
      <color rgb="FFF3F3F3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2F5496"/>
        <bgColor rgb="FF2F5496"/>
      </patternFill>
    </fill>
    <fill>
      <patternFill patternType="solid">
        <fgColor rgb="FFF3F3F3"/>
        <bgColor rgb="FFF3F3F3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0" borderId="0" xfId="0"/>
    <xf numFmtId="0" fontId="7" fillId="3" borderId="18" xfId="0" applyFont="1" applyFill="1" applyBorder="1" applyAlignment="1">
      <alignment horizontal="center" vertical="center"/>
    </xf>
    <xf numFmtId="0" fontId="8" fillId="0" borderId="19" xfId="0" applyFont="1" applyBorder="1"/>
    <xf numFmtId="0" fontId="6" fillId="0" borderId="10" xfId="0" applyFont="1" applyBorder="1" applyAlignment="1">
      <alignment horizontal="left" vertical="center" wrapText="1"/>
    </xf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9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8" fillId="0" borderId="26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14" fontId="1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7"/>
  <sheetViews>
    <sheetView workbookViewId="0">
      <selection activeCell="B7" sqref="B7"/>
    </sheetView>
  </sheetViews>
  <sheetFormatPr defaultColWidth="12.5703125" defaultRowHeight="15" customHeight="1" x14ac:dyDescent="0.2"/>
  <cols>
    <col min="1" max="1" width="14.42578125" customWidth="1"/>
    <col min="2" max="2" width="31.7109375" customWidth="1"/>
    <col min="3" max="3" width="14.42578125" customWidth="1"/>
    <col min="4" max="4" width="21.28515625" customWidth="1"/>
    <col min="5" max="7" width="14.42578125" customWidth="1"/>
  </cols>
  <sheetData>
    <row r="1" spans="1:4" ht="15.75" customHeight="1" x14ac:dyDescent="0.2">
      <c r="A1" s="1" t="s">
        <v>0</v>
      </c>
    </row>
    <row r="2" spans="1:4" ht="15.75" customHeight="1" x14ac:dyDescent="0.2">
      <c r="A2" s="2" t="s">
        <v>1</v>
      </c>
    </row>
    <row r="3" spans="1:4" ht="15.75" customHeight="1" x14ac:dyDescent="0.2"/>
    <row r="4" spans="1:4" ht="15.75" customHeight="1" x14ac:dyDescent="0.2">
      <c r="B4" s="3" t="s">
        <v>2</v>
      </c>
      <c r="C4" s="3" t="s">
        <v>3</v>
      </c>
      <c r="D4" s="3" t="s">
        <v>4</v>
      </c>
    </row>
    <row r="5" spans="1:4" ht="15.75" customHeight="1" x14ac:dyDescent="0.2">
      <c r="B5" s="4" t="s">
        <v>66</v>
      </c>
      <c r="C5" s="4">
        <v>2</v>
      </c>
      <c r="D5" s="4" t="s">
        <v>13</v>
      </c>
    </row>
    <row r="6" spans="1:4" ht="15.75" customHeight="1" x14ac:dyDescent="0.2">
      <c r="B6" s="4" t="s">
        <v>65</v>
      </c>
      <c r="C6" s="4">
        <v>3</v>
      </c>
      <c r="D6" s="4" t="s">
        <v>65</v>
      </c>
    </row>
    <row r="7" spans="1:4" ht="15.75" customHeight="1" x14ac:dyDescent="0.2">
      <c r="B7" s="4" t="s">
        <v>95</v>
      </c>
      <c r="C7" s="4">
        <v>3</v>
      </c>
      <c r="D7" s="4" t="s">
        <v>74</v>
      </c>
    </row>
    <row r="8" spans="1:4" ht="15.75" customHeight="1" x14ac:dyDescent="0.2">
      <c r="B8" s="4" t="s">
        <v>96</v>
      </c>
      <c r="C8" s="4">
        <v>3</v>
      </c>
      <c r="D8" s="4" t="s">
        <v>74</v>
      </c>
    </row>
    <row r="9" spans="1:4" ht="15.75" customHeight="1" x14ac:dyDescent="0.2">
      <c r="B9" s="4" t="s">
        <v>91</v>
      </c>
      <c r="C9" s="4">
        <v>4</v>
      </c>
      <c r="D9" s="4" t="s">
        <v>74</v>
      </c>
    </row>
    <row r="10" spans="1:4" ht="15.75" customHeight="1" x14ac:dyDescent="0.2">
      <c r="B10" s="4" t="s">
        <v>74</v>
      </c>
      <c r="C10" s="4">
        <v>4</v>
      </c>
      <c r="D10" s="4" t="s">
        <v>13</v>
      </c>
    </row>
    <row r="11" spans="1:4" ht="15.75" customHeight="1" x14ac:dyDescent="0.2">
      <c r="B11" s="4" t="s">
        <v>92</v>
      </c>
      <c r="C11" s="4">
        <v>4</v>
      </c>
      <c r="D11" s="4" t="s">
        <v>56</v>
      </c>
    </row>
    <row r="12" spans="1:4" ht="15.75" customHeight="1" x14ac:dyDescent="0.2">
      <c r="B12" s="4" t="s">
        <v>93</v>
      </c>
      <c r="C12" s="4">
        <v>4</v>
      </c>
      <c r="D12" s="4" t="s">
        <v>65</v>
      </c>
    </row>
    <row r="13" spans="1:4" ht="15.75" customHeight="1" x14ac:dyDescent="0.2">
      <c r="B13" s="4" t="s">
        <v>86</v>
      </c>
      <c r="C13" s="4">
        <v>5</v>
      </c>
      <c r="D13" s="4" t="s">
        <v>56</v>
      </c>
    </row>
    <row r="14" spans="1:4" ht="15.75" customHeight="1" x14ac:dyDescent="0.2">
      <c r="B14" s="4" t="s">
        <v>89</v>
      </c>
      <c r="C14" s="4">
        <v>5</v>
      </c>
      <c r="D14" s="4" t="s">
        <v>56</v>
      </c>
    </row>
    <row r="15" spans="1:4" ht="15.75" customHeight="1" x14ac:dyDescent="0.2">
      <c r="B15" s="4" t="s">
        <v>90</v>
      </c>
      <c r="C15" s="4">
        <v>5</v>
      </c>
      <c r="D15" s="4" t="s">
        <v>84</v>
      </c>
    </row>
    <row r="16" spans="1:4" ht="15.75" customHeight="1" x14ac:dyDescent="0.2">
      <c r="B16" s="4" t="s">
        <v>83</v>
      </c>
      <c r="C16" s="4">
        <v>7</v>
      </c>
      <c r="D16" s="4" t="s">
        <v>84</v>
      </c>
    </row>
    <row r="17" spans="2:4" ht="15.75" customHeight="1" x14ac:dyDescent="0.2">
      <c r="B17" s="4" t="s">
        <v>85</v>
      </c>
      <c r="C17" s="4">
        <v>7</v>
      </c>
      <c r="D17" s="4" t="s">
        <v>84</v>
      </c>
    </row>
    <row r="18" spans="2:4" ht="15.75" customHeight="1" x14ac:dyDescent="0.2">
      <c r="B18" s="4" t="s">
        <v>88</v>
      </c>
      <c r="C18" s="4">
        <v>7</v>
      </c>
      <c r="D18" s="4" t="s">
        <v>84</v>
      </c>
    </row>
    <row r="19" spans="2:4" ht="15.75" customHeight="1" x14ac:dyDescent="0.2">
      <c r="B19" s="4" t="s">
        <v>87</v>
      </c>
      <c r="C19" s="4">
        <v>7</v>
      </c>
      <c r="D19" s="4" t="s">
        <v>84</v>
      </c>
    </row>
    <row r="20" spans="2:4" ht="15.75" customHeight="1" x14ac:dyDescent="0.2">
      <c r="B20" s="4" t="s">
        <v>13</v>
      </c>
      <c r="C20" s="4">
        <v>7</v>
      </c>
      <c r="D20" s="4" t="s">
        <v>76</v>
      </c>
    </row>
    <row r="21" spans="2:4" ht="15.75" customHeight="1" x14ac:dyDescent="0.2">
      <c r="B21" s="4" t="s">
        <v>73</v>
      </c>
      <c r="C21" s="4">
        <v>8</v>
      </c>
      <c r="D21" s="4" t="s">
        <v>74</v>
      </c>
    </row>
    <row r="22" spans="2:4" ht="15.75" customHeight="1" x14ac:dyDescent="0.2">
      <c r="B22" s="4" t="s">
        <v>75</v>
      </c>
      <c r="C22" s="4">
        <v>8</v>
      </c>
      <c r="D22" s="4" t="s">
        <v>76</v>
      </c>
    </row>
    <row r="23" spans="2:4" ht="15.75" customHeight="1" x14ac:dyDescent="0.2">
      <c r="B23" s="4" t="s">
        <v>77</v>
      </c>
      <c r="C23" s="4">
        <v>8</v>
      </c>
      <c r="D23" s="4" t="s">
        <v>76</v>
      </c>
    </row>
    <row r="24" spans="2:4" ht="15.75" customHeight="1" x14ac:dyDescent="0.2">
      <c r="B24" s="4" t="s">
        <v>78</v>
      </c>
      <c r="C24" s="4">
        <v>8</v>
      </c>
      <c r="D24" s="4" t="s">
        <v>76</v>
      </c>
    </row>
    <row r="25" spans="2:4" ht="15.75" customHeight="1" x14ac:dyDescent="0.2">
      <c r="B25" s="4" t="s">
        <v>40</v>
      </c>
      <c r="C25" s="4">
        <v>8</v>
      </c>
      <c r="D25" s="4" t="s">
        <v>74</v>
      </c>
    </row>
    <row r="26" spans="2:4" ht="15.75" customHeight="1" x14ac:dyDescent="0.2">
      <c r="B26" s="4" t="s">
        <v>79</v>
      </c>
      <c r="C26" s="4">
        <v>8</v>
      </c>
      <c r="D26" s="4" t="s">
        <v>76</v>
      </c>
    </row>
    <row r="27" spans="2:4" ht="15.75" customHeight="1" x14ac:dyDescent="0.2">
      <c r="B27" s="4" t="s">
        <v>80</v>
      </c>
      <c r="C27" s="4">
        <v>8</v>
      </c>
      <c r="D27" s="4" t="s">
        <v>74</v>
      </c>
    </row>
    <row r="28" spans="2:4" ht="15.75" customHeight="1" x14ac:dyDescent="0.2">
      <c r="B28" s="4" t="s">
        <v>17</v>
      </c>
      <c r="C28" s="4">
        <v>8</v>
      </c>
      <c r="D28" s="4" t="s">
        <v>74</v>
      </c>
    </row>
    <row r="29" spans="2:4" ht="15.75" customHeight="1" x14ac:dyDescent="0.2">
      <c r="B29" s="4" t="s">
        <v>82</v>
      </c>
      <c r="C29" s="4">
        <v>8</v>
      </c>
      <c r="D29" s="4" t="s">
        <v>76</v>
      </c>
    </row>
    <row r="30" spans="2:4" ht="15.75" customHeight="1" x14ac:dyDescent="0.2">
      <c r="B30" s="4" t="s">
        <v>68</v>
      </c>
      <c r="C30" s="4">
        <v>11</v>
      </c>
      <c r="D30" s="4" t="s">
        <v>65</v>
      </c>
    </row>
    <row r="31" spans="2:4" ht="15.75" customHeight="1" x14ac:dyDescent="0.2">
      <c r="B31" s="4" t="s">
        <v>55</v>
      </c>
      <c r="C31" s="4">
        <v>11</v>
      </c>
      <c r="D31" s="4" t="s">
        <v>56</v>
      </c>
    </row>
    <row r="32" spans="2:4" ht="15.75" customHeight="1" x14ac:dyDescent="0.2">
      <c r="B32" s="4" t="s">
        <v>69</v>
      </c>
      <c r="C32" s="4">
        <v>11</v>
      </c>
      <c r="D32" s="4" t="s">
        <v>56</v>
      </c>
    </row>
    <row r="33" spans="2:4" ht="15.75" customHeight="1" x14ac:dyDescent="0.2">
      <c r="B33" s="4" t="s">
        <v>64</v>
      </c>
      <c r="C33" s="4">
        <v>11</v>
      </c>
      <c r="D33" s="4" t="s">
        <v>65</v>
      </c>
    </row>
    <row r="34" spans="2:4" ht="15.75" customHeight="1" x14ac:dyDescent="0.2">
      <c r="B34" s="4" t="s">
        <v>71</v>
      </c>
      <c r="C34" s="4">
        <v>11</v>
      </c>
      <c r="D34" s="4" t="s">
        <v>65</v>
      </c>
    </row>
    <row r="35" spans="2:4" ht="15.75" customHeight="1" x14ac:dyDescent="0.2">
      <c r="B35" s="4" t="s">
        <v>67</v>
      </c>
      <c r="C35" s="4">
        <v>12</v>
      </c>
      <c r="D35" s="4" t="s">
        <v>56</v>
      </c>
    </row>
    <row r="36" spans="2:4" ht="15.75" customHeight="1" x14ac:dyDescent="0.2">
      <c r="B36" s="4" t="s">
        <v>58</v>
      </c>
      <c r="C36" s="4">
        <v>13</v>
      </c>
      <c r="D36" s="4" t="s">
        <v>43</v>
      </c>
    </row>
    <row r="37" spans="2:4" ht="15.75" customHeight="1" x14ac:dyDescent="0.2">
      <c r="B37" s="4" t="s">
        <v>72</v>
      </c>
      <c r="C37" s="4">
        <v>13</v>
      </c>
      <c r="D37" s="4" t="s">
        <v>43</v>
      </c>
    </row>
    <row r="38" spans="2:4" ht="15.75" customHeight="1" x14ac:dyDescent="0.2">
      <c r="B38" s="4" t="s">
        <v>59</v>
      </c>
      <c r="C38" s="4">
        <v>13</v>
      </c>
      <c r="D38" s="4" t="s">
        <v>43</v>
      </c>
    </row>
    <row r="39" spans="2:4" ht="15.75" customHeight="1" x14ac:dyDescent="0.2">
      <c r="B39" s="4" t="s">
        <v>60</v>
      </c>
      <c r="C39" s="4">
        <v>13</v>
      </c>
      <c r="D39" s="4" t="s">
        <v>43</v>
      </c>
    </row>
    <row r="40" spans="2:4" ht="15.75" customHeight="1" x14ac:dyDescent="0.2">
      <c r="B40" s="4" t="s">
        <v>61</v>
      </c>
      <c r="C40" s="4">
        <v>13</v>
      </c>
      <c r="D40" s="4" t="s">
        <v>43</v>
      </c>
    </row>
    <row r="41" spans="2:4" ht="15.75" customHeight="1" x14ac:dyDescent="0.2">
      <c r="B41" s="4" t="s">
        <v>62</v>
      </c>
      <c r="C41" s="4">
        <v>13</v>
      </c>
      <c r="D41" s="4" t="s">
        <v>40</v>
      </c>
    </row>
    <row r="42" spans="2:4" ht="15.75" customHeight="1" x14ac:dyDescent="0.2">
      <c r="B42" s="4" t="s">
        <v>94</v>
      </c>
      <c r="C42" s="4">
        <v>13</v>
      </c>
      <c r="D42" s="4" t="s">
        <v>43</v>
      </c>
    </row>
    <row r="43" spans="2:4" ht="15.75" customHeight="1" x14ac:dyDescent="0.2">
      <c r="B43" s="4" t="s">
        <v>63</v>
      </c>
      <c r="C43" s="4">
        <v>13</v>
      </c>
      <c r="D43" s="4" t="s">
        <v>43</v>
      </c>
    </row>
    <row r="44" spans="2:4" ht="15.75" customHeight="1" x14ac:dyDescent="0.2">
      <c r="B44" s="4" t="s">
        <v>42</v>
      </c>
      <c r="C44" s="4">
        <v>13</v>
      </c>
      <c r="D44" s="4" t="s">
        <v>43</v>
      </c>
    </row>
    <row r="45" spans="2:4" ht="15.75" customHeight="1" x14ac:dyDescent="0.2">
      <c r="B45" s="4" t="s">
        <v>70</v>
      </c>
      <c r="C45" s="4">
        <v>13</v>
      </c>
      <c r="D45" s="4" t="s">
        <v>43</v>
      </c>
    </row>
    <row r="46" spans="2:4" ht="15.75" customHeight="1" x14ac:dyDescent="0.2">
      <c r="B46" s="4" t="s">
        <v>38</v>
      </c>
      <c r="C46" s="4">
        <v>14</v>
      </c>
      <c r="D46" s="4" t="s">
        <v>13</v>
      </c>
    </row>
    <row r="47" spans="2:4" ht="15.75" customHeight="1" x14ac:dyDescent="0.2">
      <c r="B47" s="4" t="s">
        <v>41</v>
      </c>
      <c r="C47" s="4">
        <v>14</v>
      </c>
      <c r="D47" s="4" t="s">
        <v>13</v>
      </c>
    </row>
    <row r="48" spans="2:4" ht="15.75" customHeight="1" x14ac:dyDescent="0.2">
      <c r="B48" s="4" t="s">
        <v>12</v>
      </c>
      <c r="C48" s="4">
        <v>14</v>
      </c>
      <c r="D48" s="4" t="s">
        <v>13</v>
      </c>
    </row>
    <row r="49" spans="2:4" ht="15.75" customHeight="1" x14ac:dyDescent="0.2">
      <c r="B49" s="4" t="s">
        <v>44</v>
      </c>
      <c r="C49" s="4">
        <v>14</v>
      </c>
      <c r="D49" s="4" t="s">
        <v>17</v>
      </c>
    </row>
    <row r="50" spans="2:4" ht="15.75" customHeight="1" x14ac:dyDescent="0.2">
      <c r="B50" s="4" t="s">
        <v>45</v>
      </c>
      <c r="C50" s="4">
        <v>14</v>
      </c>
      <c r="D50" s="4" t="s">
        <v>17</v>
      </c>
    </row>
    <row r="51" spans="2:4" ht="15.75" customHeight="1" x14ac:dyDescent="0.2">
      <c r="B51" s="4" t="s">
        <v>46</v>
      </c>
      <c r="C51" s="4">
        <v>14</v>
      </c>
      <c r="D51" s="4" t="s">
        <v>17</v>
      </c>
    </row>
    <row r="52" spans="2:4" ht="15.75" customHeight="1" x14ac:dyDescent="0.2">
      <c r="B52" s="4" t="s">
        <v>47</v>
      </c>
      <c r="C52" s="4">
        <v>14</v>
      </c>
      <c r="D52" s="4" t="s">
        <v>13</v>
      </c>
    </row>
    <row r="53" spans="2:4" ht="15.75" customHeight="1" x14ac:dyDescent="0.2">
      <c r="B53" s="4" t="s">
        <v>48</v>
      </c>
      <c r="C53" s="4">
        <v>14</v>
      </c>
      <c r="D53" s="4" t="s">
        <v>40</v>
      </c>
    </row>
    <row r="54" spans="2:4" ht="15.75" customHeight="1" x14ac:dyDescent="0.2">
      <c r="B54" s="4" t="s">
        <v>49</v>
      </c>
      <c r="C54" s="4">
        <v>14</v>
      </c>
      <c r="D54" s="4" t="s">
        <v>17</v>
      </c>
    </row>
    <row r="55" spans="2:4" ht="15.75" customHeight="1" x14ac:dyDescent="0.2">
      <c r="B55" s="4" t="s">
        <v>50</v>
      </c>
      <c r="C55" s="4">
        <v>14</v>
      </c>
      <c r="D55" s="4" t="s">
        <v>40</v>
      </c>
    </row>
    <row r="56" spans="2:4" ht="15.75" customHeight="1" x14ac:dyDescent="0.2">
      <c r="B56" s="4" t="s">
        <v>39</v>
      </c>
      <c r="C56" s="4">
        <v>14</v>
      </c>
      <c r="D56" s="4" t="s">
        <v>40</v>
      </c>
    </row>
    <row r="57" spans="2:4" ht="15.75" customHeight="1" x14ac:dyDescent="0.2">
      <c r="B57" s="4" t="s">
        <v>52</v>
      </c>
      <c r="C57" s="4">
        <v>14</v>
      </c>
      <c r="D57" s="4" t="s">
        <v>13</v>
      </c>
    </row>
    <row r="58" spans="2:4" ht="15.75" customHeight="1" x14ac:dyDescent="0.2">
      <c r="B58" s="4" t="s">
        <v>53</v>
      </c>
      <c r="C58" s="4">
        <v>14</v>
      </c>
      <c r="D58" s="4" t="s">
        <v>13</v>
      </c>
    </row>
    <row r="59" spans="2:4" ht="15.75" customHeight="1" x14ac:dyDescent="0.2">
      <c r="B59" s="4" t="s">
        <v>54</v>
      </c>
      <c r="C59" s="4">
        <v>14</v>
      </c>
      <c r="D59" s="4" t="s">
        <v>13</v>
      </c>
    </row>
    <row r="60" spans="2:4" ht="15.75" customHeight="1" x14ac:dyDescent="0.2">
      <c r="B60" s="4" t="s">
        <v>57</v>
      </c>
      <c r="C60" s="4">
        <v>14</v>
      </c>
      <c r="D60" s="4" t="s">
        <v>17</v>
      </c>
    </row>
    <row r="61" spans="2:4" ht="15.75" customHeight="1" x14ac:dyDescent="0.2">
      <c r="B61" s="4" t="s">
        <v>24</v>
      </c>
      <c r="C61" s="4">
        <v>15</v>
      </c>
      <c r="D61" s="4" t="s">
        <v>8</v>
      </c>
    </row>
    <row r="62" spans="2:4" ht="15.75" customHeight="1" x14ac:dyDescent="0.2">
      <c r="B62" s="4" t="s">
        <v>7</v>
      </c>
      <c r="C62" s="4">
        <v>15</v>
      </c>
      <c r="D62" s="4" t="s">
        <v>8</v>
      </c>
    </row>
    <row r="63" spans="2:4" ht="15.75" customHeight="1" x14ac:dyDescent="0.2">
      <c r="B63" s="4" t="s">
        <v>14</v>
      </c>
      <c r="C63" s="4">
        <v>15</v>
      </c>
      <c r="D63" s="4" t="s">
        <v>8</v>
      </c>
    </row>
    <row r="64" spans="2:4" ht="15.75" customHeight="1" x14ac:dyDescent="0.2">
      <c r="B64" s="4" t="s">
        <v>15</v>
      </c>
      <c r="C64" s="4">
        <v>15</v>
      </c>
      <c r="D64" s="4" t="s">
        <v>6</v>
      </c>
    </row>
    <row r="65" spans="2:4" ht="15.75" customHeight="1" x14ac:dyDescent="0.2">
      <c r="B65" s="4" t="s">
        <v>16</v>
      </c>
      <c r="C65" s="4">
        <v>15</v>
      </c>
      <c r="D65" s="4" t="s">
        <v>17</v>
      </c>
    </row>
    <row r="66" spans="2:4" ht="15.75" customHeight="1" x14ac:dyDescent="0.2">
      <c r="B66" s="4" t="s">
        <v>19</v>
      </c>
      <c r="C66" s="4">
        <v>15</v>
      </c>
      <c r="D66" s="4" t="s">
        <v>8</v>
      </c>
    </row>
    <row r="67" spans="2:4" ht="15.75" customHeight="1" x14ac:dyDescent="0.2">
      <c r="B67" s="4" t="s">
        <v>21</v>
      </c>
      <c r="C67" s="4">
        <v>15</v>
      </c>
      <c r="D67" s="4" t="s">
        <v>8</v>
      </c>
    </row>
    <row r="68" spans="2:4" ht="15.75" customHeight="1" x14ac:dyDescent="0.2">
      <c r="B68" s="4" t="s">
        <v>25</v>
      </c>
      <c r="C68" s="4">
        <v>15</v>
      </c>
      <c r="D68" s="4" t="s">
        <v>8</v>
      </c>
    </row>
    <row r="69" spans="2:4" ht="15.75" customHeight="1" x14ac:dyDescent="0.2">
      <c r="B69" s="4" t="s">
        <v>26</v>
      </c>
      <c r="C69" s="4">
        <v>15</v>
      </c>
      <c r="D69" s="4" t="s">
        <v>8</v>
      </c>
    </row>
    <row r="70" spans="2:4" ht="15.75" customHeight="1" x14ac:dyDescent="0.2">
      <c r="B70" s="4" t="s">
        <v>27</v>
      </c>
      <c r="C70" s="4">
        <v>15</v>
      </c>
      <c r="D70" s="4" t="s">
        <v>17</v>
      </c>
    </row>
    <row r="71" spans="2:4" ht="15.75" customHeight="1" x14ac:dyDescent="0.2">
      <c r="B71" s="4" t="s">
        <v>28</v>
      </c>
      <c r="C71" s="4">
        <v>15</v>
      </c>
      <c r="D71" s="4" t="s">
        <v>8</v>
      </c>
    </row>
    <row r="72" spans="2:4" ht="15.75" customHeight="1" x14ac:dyDescent="0.2">
      <c r="B72" s="4" t="s">
        <v>29</v>
      </c>
      <c r="C72" s="4">
        <v>15</v>
      </c>
      <c r="D72" s="4" t="s">
        <v>8</v>
      </c>
    </row>
    <row r="73" spans="2:4" ht="15.75" customHeight="1" x14ac:dyDescent="0.2">
      <c r="B73" s="4" t="s">
        <v>30</v>
      </c>
      <c r="C73" s="4">
        <v>15</v>
      </c>
      <c r="D73" s="4" t="s">
        <v>17</v>
      </c>
    </row>
    <row r="74" spans="2:4" ht="15.75" customHeight="1" x14ac:dyDescent="0.2">
      <c r="B74" s="4" t="s">
        <v>18</v>
      </c>
      <c r="C74" s="4">
        <v>15</v>
      </c>
      <c r="D74" s="4" t="s">
        <v>17</v>
      </c>
    </row>
    <row r="75" spans="2:4" ht="15.75" customHeight="1" x14ac:dyDescent="0.2">
      <c r="B75" s="4" t="s">
        <v>31</v>
      </c>
      <c r="C75" s="4">
        <v>15</v>
      </c>
      <c r="D75" s="4" t="s">
        <v>6</v>
      </c>
    </row>
    <row r="76" spans="2:4" ht="15.75" customHeight="1" x14ac:dyDescent="0.2">
      <c r="B76" s="4" t="s">
        <v>32</v>
      </c>
      <c r="C76" s="4">
        <v>15</v>
      </c>
      <c r="D76" s="4" t="s">
        <v>17</v>
      </c>
    </row>
    <row r="77" spans="2:4" ht="15.75" customHeight="1" x14ac:dyDescent="0.2">
      <c r="B77" s="4" t="s">
        <v>33</v>
      </c>
      <c r="C77" s="4">
        <v>15</v>
      </c>
      <c r="D77" s="4" t="s">
        <v>8</v>
      </c>
    </row>
    <row r="78" spans="2:4" ht="15.75" customHeight="1" x14ac:dyDescent="0.2">
      <c r="B78" s="4" t="s">
        <v>51</v>
      </c>
      <c r="C78" s="4">
        <v>15</v>
      </c>
      <c r="D78" s="4" t="s">
        <v>8</v>
      </c>
    </row>
    <row r="79" spans="2:4" ht="15.75" customHeight="1" x14ac:dyDescent="0.2">
      <c r="B79" s="4" t="s">
        <v>34</v>
      </c>
      <c r="C79" s="4">
        <v>15</v>
      </c>
      <c r="D79" s="4" t="s">
        <v>17</v>
      </c>
    </row>
    <row r="80" spans="2:4" ht="15.75" customHeight="1" x14ac:dyDescent="0.2">
      <c r="B80" s="4" t="s">
        <v>35</v>
      </c>
      <c r="C80" s="4">
        <v>15</v>
      </c>
      <c r="D80" s="4" t="s">
        <v>6</v>
      </c>
    </row>
    <row r="81" spans="2:4" ht="15.75" customHeight="1" x14ac:dyDescent="0.2">
      <c r="B81" s="4" t="s">
        <v>36</v>
      </c>
      <c r="C81" s="4">
        <v>15</v>
      </c>
      <c r="D81" s="4" t="s">
        <v>17</v>
      </c>
    </row>
    <row r="82" spans="2:4" ht="15.75" customHeight="1" x14ac:dyDescent="0.2">
      <c r="B82" s="4" t="s">
        <v>37</v>
      </c>
      <c r="C82" s="4">
        <v>15</v>
      </c>
      <c r="D82" s="4" t="s">
        <v>17</v>
      </c>
    </row>
    <row r="83" spans="2:4" ht="15.75" customHeight="1" x14ac:dyDescent="0.2">
      <c r="B83" s="4" t="s">
        <v>81</v>
      </c>
      <c r="C83" s="4">
        <v>16</v>
      </c>
      <c r="D83" s="4" t="s">
        <v>6</v>
      </c>
    </row>
    <row r="84" spans="2:4" ht="15.75" customHeight="1" x14ac:dyDescent="0.2">
      <c r="B84" s="4" t="s">
        <v>22</v>
      </c>
      <c r="C84" s="4">
        <v>16</v>
      </c>
      <c r="D84" s="4" t="s">
        <v>6</v>
      </c>
    </row>
    <row r="85" spans="2:4" ht="15.75" customHeight="1" x14ac:dyDescent="0.2">
      <c r="B85" s="4" t="s">
        <v>5</v>
      </c>
      <c r="C85" s="4">
        <v>16</v>
      </c>
      <c r="D85" s="4" t="s">
        <v>6</v>
      </c>
    </row>
    <row r="86" spans="2:4" ht="15.75" customHeight="1" x14ac:dyDescent="0.2">
      <c r="B86" s="4" t="s">
        <v>23</v>
      </c>
      <c r="C86" s="4">
        <v>16</v>
      </c>
      <c r="D86" s="4" t="s">
        <v>6</v>
      </c>
    </row>
    <row r="87" spans="2:4" ht="15.75" customHeight="1" x14ac:dyDescent="0.2">
      <c r="B87" s="4" t="s">
        <v>9</v>
      </c>
      <c r="C87" s="4">
        <v>16</v>
      </c>
      <c r="D87" s="4" t="s">
        <v>6</v>
      </c>
    </row>
    <row r="88" spans="2:4" ht="15.75" customHeight="1" x14ac:dyDescent="0.2">
      <c r="B88" s="4" t="s">
        <v>10</v>
      </c>
      <c r="C88" s="4">
        <v>16</v>
      </c>
      <c r="D88" s="4" t="s">
        <v>6</v>
      </c>
    </row>
    <row r="89" spans="2:4" ht="15.75" customHeight="1" x14ac:dyDescent="0.2">
      <c r="B89" s="4" t="s">
        <v>20</v>
      </c>
      <c r="C89" s="4">
        <v>16</v>
      </c>
      <c r="D89" s="4" t="s">
        <v>6</v>
      </c>
    </row>
    <row r="90" spans="2:4" ht="15.75" customHeight="1" x14ac:dyDescent="0.2">
      <c r="B90" s="4" t="s">
        <v>11</v>
      </c>
      <c r="C90" s="4">
        <v>16</v>
      </c>
      <c r="D90" s="4" t="s">
        <v>6</v>
      </c>
    </row>
    <row r="91" spans="2:4" ht="15.75" customHeight="1" x14ac:dyDescent="0.2"/>
    <row r="92" spans="2:4" ht="15.75" customHeight="1" x14ac:dyDescent="0.2"/>
    <row r="93" spans="2:4" ht="15.75" customHeight="1" x14ac:dyDescent="0.2"/>
    <row r="94" spans="2:4" ht="15.75" customHeight="1" x14ac:dyDescent="0.2"/>
    <row r="95" spans="2:4" ht="15.75" customHeight="1" x14ac:dyDescent="0.2"/>
    <row r="96" spans="2:4" ht="15.75" customHeight="1" x14ac:dyDescent="0.2"/>
    <row r="97" ht="15.75" customHeight="1" x14ac:dyDescent="0.2"/>
  </sheetData>
  <sortState xmlns:xlrd2="http://schemas.microsoft.com/office/spreadsheetml/2017/richdata2" ref="B5:D90">
    <sortCondition ref="C5:C90"/>
    <sortCondition ref="B5:B90"/>
  </sortState>
  <customSheetViews>
    <customSheetView guid="{5F63C1CD-FD94-4F9D-9C59-41870CC293E9}" filter="1" showAutoFilter="1">
      <pageMargins left="0.7" right="0.7" top="0.75" bottom="0.75" header="0.3" footer="0.3"/>
      <autoFilter ref="B4:D90" xr:uid="{320B8816-755F-41F2-B410-B47627506505}">
        <sortState xmlns:xlrd2="http://schemas.microsoft.com/office/spreadsheetml/2017/richdata2" ref="B4:D90">
          <sortCondition ref="C4:C90"/>
          <sortCondition ref="B4:B90"/>
        </sortState>
      </autoFilter>
      <extLst>
        <ext uri="GoogleSheetsCustomDataVersion1">
          <go:sheetsCustomData xmlns:go="http://customooxmlschemas.google.com/" filterViewId="413851804"/>
        </ext>
      </extLst>
    </customSheetView>
  </customSheetView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D108"/>
  <sheetViews>
    <sheetView workbookViewId="0">
      <selection activeCell="E3" sqref="E3"/>
    </sheetView>
  </sheetViews>
  <sheetFormatPr defaultColWidth="12.5703125" defaultRowHeight="15" customHeight="1" x14ac:dyDescent="0.2"/>
  <cols>
    <col min="1" max="1" width="14.42578125" customWidth="1"/>
    <col min="2" max="2" width="31.7109375" customWidth="1"/>
    <col min="3" max="3" width="14.42578125" customWidth="1"/>
    <col min="4" max="4" width="21.28515625" customWidth="1"/>
    <col min="5" max="7" width="14.42578125" customWidth="1"/>
  </cols>
  <sheetData>
    <row r="1" spans="1:4" ht="15.75" customHeight="1" x14ac:dyDescent="0.2">
      <c r="A1" s="2" t="s">
        <v>97</v>
      </c>
    </row>
    <row r="2" spans="1:4" ht="15.75" customHeight="1" x14ac:dyDescent="0.2">
      <c r="A2" s="2" t="s">
        <v>98</v>
      </c>
    </row>
    <row r="3" spans="1:4" ht="15.75" customHeight="1" x14ac:dyDescent="0.2"/>
    <row r="4" spans="1:4" ht="15.75" customHeight="1" x14ac:dyDescent="0.2">
      <c r="B4" s="3" t="s">
        <v>2</v>
      </c>
      <c r="C4" s="3" t="s">
        <v>3</v>
      </c>
      <c r="D4" s="3" t="s">
        <v>4</v>
      </c>
    </row>
    <row r="5" spans="1:4" ht="15.75" hidden="1" customHeight="1" x14ac:dyDescent="0.2">
      <c r="B5" s="4" t="s">
        <v>66</v>
      </c>
      <c r="C5" s="4">
        <v>2</v>
      </c>
      <c r="D5" s="4" t="s">
        <v>13</v>
      </c>
    </row>
    <row r="6" spans="1:4" ht="15.75" hidden="1" customHeight="1" x14ac:dyDescent="0.2">
      <c r="B6" s="4" t="s">
        <v>65</v>
      </c>
      <c r="C6" s="4">
        <v>3</v>
      </c>
      <c r="D6" s="4" t="s">
        <v>65</v>
      </c>
    </row>
    <row r="7" spans="1:4" ht="15.75" customHeight="1" x14ac:dyDescent="0.2">
      <c r="B7" s="4" t="s">
        <v>95</v>
      </c>
      <c r="C7" s="4">
        <v>3</v>
      </c>
      <c r="D7" s="4" t="s">
        <v>74</v>
      </c>
    </row>
    <row r="8" spans="1:4" ht="15.75" customHeight="1" x14ac:dyDescent="0.2">
      <c r="B8" s="4" t="s">
        <v>96</v>
      </c>
      <c r="C8" s="4">
        <v>3</v>
      </c>
      <c r="D8" s="4" t="s">
        <v>74</v>
      </c>
    </row>
    <row r="9" spans="1:4" ht="15.75" customHeight="1" x14ac:dyDescent="0.2">
      <c r="B9" s="4" t="s">
        <v>91</v>
      </c>
      <c r="C9" s="4">
        <v>4</v>
      </c>
      <c r="D9" s="4" t="s">
        <v>74</v>
      </c>
    </row>
    <row r="10" spans="1:4" ht="15.75" hidden="1" customHeight="1" x14ac:dyDescent="0.2">
      <c r="B10" s="4" t="s">
        <v>74</v>
      </c>
      <c r="C10" s="4">
        <v>4</v>
      </c>
      <c r="D10" s="4" t="s">
        <v>13</v>
      </c>
    </row>
    <row r="11" spans="1:4" ht="15.75" hidden="1" customHeight="1" x14ac:dyDescent="0.2">
      <c r="B11" s="4" t="s">
        <v>92</v>
      </c>
      <c r="C11" s="4">
        <v>4</v>
      </c>
      <c r="D11" s="4" t="s">
        <v>56</v>
      </c>
    </row>
    <row r="12" spans="1:4" ht="15.75" hidden="1" customHeight="1" x14ac:dyDescent="0.2">
      <c r="B12" s="4" t="s">
        <v>93</v>
      </c>
      <c r="C12" s="4">
        <v>4</v>
      </c>
      <c r="D12" s="4" t="s">
        <v>65</v>
      </c>
    </row>
    <row r="13" spans="1:4" ht="15.75" hidden="1" customHeight="1" x14ac:dyDescent="0.2">
      <c r="B13" s="4" t="s">
        <v>86</v>
      </c>
      <c r="C13" s="4">
        <v>5</v>
      </c>
      <c r="D13" s="4" t="s">
        <v>56</v>
      </c>
    </row>
    <row r="14" spans="1:4" ht="15.75" hidden="1" customHeight="1" x14ac:dyDescent="0.2">
      <c r="B14" s="4" t="s">
        <v>89</v>
      </c>
      <c r="C14" s="4">
        <v>5</v>
      </c>
      <c r="D14" s="4" t="s">
        <v>56</v>
      </c>
    </row>
    <row r="15" spans="1:4" ht="15.75" hidden="1" customHeight="1" x14ac:dyDescent="0.2">
      <c r="B15" s="4" t="s">
        <v>90</v>
      </c>
      <c r="C15" s="4">
        <v>5</v>
      </c>
      <c r="D15" s="4" t="s">
        <v>84</v>
      </c>
    </row>
    <row r="16" spans="1:4" ht="15.75" hidden="1" customHeight="1" x14ac:dyDescent="0.2">
      <c r="B16" s="4" t="s">
        <v>83</v>
      </c>
      <c r="C16" s="4">
        <v>7</v>
      </c>
      <c r="D16" s="4" t="s">
        <v>84</v>
      </c>
    </row>
    <row r="17" spans="2:4" ht="15.75" hidden="1" customHeight="1" x14ac:dyDescent="0.2">
      <c r="B17" s="4" t="s">
        <v>85</v>
      </c>
      <c r="C17" s="4">
        <v>7</v>
      </c>
      <c r="D17" s="4" t="s">
        <v>84</v>
      </c>
    </row>
    <row r="18" spans="2:4" ht="15.75" hidden="1" customHeight="1" x14ac:dyDescent="0.2">
      <c r="B18" s="4" t="s">
        <v>88</v>
      </c>
      <c r="C18" s="4">
        <v>7</v>
      </c>
      <c r="D18" s="4" t="s">
        <v>84</v>
      </c>
    </row>
    <row r="19" spans="2:4" ht="15.75" hidden="1" customHeight="1" x14ac:dyDescent="0.2">
      <c r="B19" s="4" t="s">
        <v>87</v>
      </c>
      <c r="C19" s="4">
        <v>7</v>
      </c>
      <c r="D19" s="4" t="s">
        <v>84</v>
      </c>
    </row>
    <row r="20" spans="2:4" ht="15.75" hidden="1" customHeight="1" x14ac:dyDescent="0.2">
      <c r="B20" s="4" t="s">
        <v>13</v>
      </c>
      <c r="C20" s="4">
        <v>7</v>
      </c>
      <c r="D20" s="4" t="s">
        <v>76</v>
      </c>
    </row>
    <row r="21" spans="2:4" ht="15.75" customHeight="1" x14ac:dyDescent="0.2">
      <c r="B21" s="4" t="s">
        <v>73</v>
      </c>
      <c r="C21" s="4">
        <v>8</v>
      </c>
      <c r="D21" s="4" t="s">
        <v>74</v>
      </c>
    </row>
    <row r="22" spans="2:4" ht="15.75" hidden="1" customHeight="1" x14ac:dyDescent="0.2">
      <c r="B22" s="4" t="s">
        <v>75</v>
      </c>
      <c r="C22" s="4">
        <v>8</v>
      </c>
      <c r="D22" s="4" t="s">
        <v>76</v>
      </c>
    </row>
    <row r="23" spans="2:4" ht="15.75" hidden="1" customHeight="1" x14ac:dyDescent="0.2">
      <c r="B23" s="4" t="s">
        <v>77</v>
      </c>
      <c r="C23" s="4">
        <v>8</v>
      </c>
      <c r="D23" s="4" t="s">
        <v>76</v>
      </c>
    </row>
    <row r="24" spans="2:4" ht="15.75" hidden="1" customHeight="1" x14ac:dyDescent="0.2">
      <c r="B24" s="4" t="s">
        <v>78</v>
      </c>
      <c r="C24" s="4">
        <v>8</v>
      </c>
      <c r="D24" s="4" t="s">
        <v>76</v>
      </c>
    </row>
    <row r="25" spans="2:4" ht="15.75" customHeight="1" x14ac:dyDescent="0.2">
      <c r="B25" s="4" t="s">
        <v>40</v>
      </c>
      <c r="C25" s="4">
        <v>8</v>
      </c>
      <c r="D25" s="4" t="s">
        <v>74</v>
      </c>
    </row>
    <row r="26" spans="2:4" ht="15.75" hidden="1" customHeight="1" x14ac:dyDescent="0.2">
      <c r="B26" s="4" t="s">
        <v>79</v>
      </c>
      <c r="C26" s="4">
        <v>8</v>
      </c>
      <c r="D26" s="4" t="s">
        <v>76</v>
      </c>
    </row>
    <row r="27" spans="2:4" ht="15.75" customHeight="1" x14ac:dyDescent="0.2">
      <c r="B27" s="4" t="s">
        <v>80</v>
      </c>
      <c r="C27" s="4">
        <v>8</v>
      </c>
      <c r="D27" s="4" t="s">
        <v>74</v>
      </c>
    </row>
    <row r="28" spans="2:4" ht="15.75" customHeight="1" x14ac:dyDescent="0.2">
      <c r="B28" s="4" t="s">
        <v>17</v>
      </c>
      <c r="C28" s="4">
        <v>8</v>
      </c>
      <c r="D28" s="4" t="s">
        <v>74</v>
      </c>
    </row>
    <row r="29" spans="2:4" ht="15.75" hidden="1" customHeight="1" x14ac:dyDescent="0.2">
      <c r="B29" s="4" t="s">
        <v>82</v>
      </c>
      <c r="C29" s="4">
        <v>8</v>
      </c>
      <c r="D29" s="4" t="s">
        <v>76</v>
      </c>
    </row>
    <row r="30" spans="2:4" ht="15.75" hidden="1" customHeight="1" x14ac:dyDescent="0.2">
      <c r="B30" s="4" t="s">
        <v>68</v>
      </c>
      <c r="C30" s="4">
        <v>11</v>
      </c>
      <c r="D30" s="4" t="s">
        <v>65</v>
      </c>
    </row>
    <row r="31" spans="2:4" ht="15.75" hidden="1" customHeight="1" x14ac:dyDescent="0.2">
      <c r="B31" s="4" t="s">
        <v>55</v>
      </c>
      <c r="C31" s="4">
        <v>11</v>
      </c>
      <c r="D31" s="4" t="s">
        <v>56</v>
      </c>
    </row>
    <row r="32" spans="2:4" ht="15.75" hidden="1" customHeight="1" x14ac:dyDescent="0.2">
      <c r="B32" s="4" t="s">
        <v>69</v>
      </c>
      <c r="C32" s="4">
        <v>11</v>
      </c>
      <c r="D32" s="4" t="s">
        <v>56</v>
      </c>
    </row>
    <row r="33" spans="2:4" ht="15.75" hidden="1" customHeight="1" x14ac:dyDescent="0.2">
      <c r="B33" s="4" t="s">
        <v>64</v>
      </c>
      <c r="C33" s="4">
        <v>11</v>
      </c>
      <c r="D33" s="4" t="s">
        <v>65</v>
      </c>
    </row>
    <row r="34" spans="2:4" ht="15.75" hidden="1" customHeight="1" x14ac:dyDescent="0.2">
      <c r="B34" s="4" t="s">
        <v>71</v>
      </c>
      <c r="C34" s="4">
        <v>11</v>
      </c>
      <c r="D34" s="4" t="s">
        <v>65</v>
      </c>
    </row>
    <row r="35" spans="2:4" ht="15.75" hidden="1" customHeight="1" x14ac:dyDescent="0.2">
      <c r="B35" s="4" t="s">
        <v>67</v>
      </c>
      <c r="C35" s="4">
        <v>12</v>
      </c>
      <c r="D35" s="4" t="s">
        <v>56</v>
      </c>
    </row>
    <row r="36" spans="2:4" ht="15.75" hidden="1" customHeight="1" x14ac:dyDescent="0.2">
      <c r="B36" s="4" t="s">
        <v>58</v>
      </c>
      <c r="C36" s="4">
        <v>13</v>
      </c>
      <c r="D36" s="4" t="s">
        <v>43</v>
      </c>
    </row>
    <row r="37" spans="2:4" ht="15.75" hidden="1" customHeight="1" x14ac:dyDescent="0.2">
      <c r="B37" s="4" t="s">
        <v>72</v>
      </c>
      <c r="C37" s="4">
        <v>13</v>
      </c>
      <c r="D37" s="4" t="s">
        <v>43</v>
      </c>
    </row>
    <row r="38" spans="2:4" ht="15.75" hidden="1" customHeight="1" x14ac:dyDescent="0.2">
      <c r="B38" s="4" t="s">
        <v>59</v>
      </c>
      <c r="C38" s="4">
        <v>13</v>
      </c>
      <c r="D38" s="4" t="s">
        <v>43</v>
      </c>
    </row>
    <row r="39" spans="2:4" ht="15.75" hidden="1" customHeight="1" x14ac:dyDescent="0.2">
      <c r="B39" s="4" t="s">
        <v>60</v>
      </c>
      <c r="C39" s="4">
        <v>13</v>
      </c>
      <c r="D39" s="4" t="s">
        <v>43</v>
      </c>
    </row>
    <row r="40" spans="2:4" ht="15.75" hidden="1" customHeight="1" x14ac:dyDescent="0.2">
      <c r="B40" s="4" t="s">
        <v>61</v>
      </c>
      <c r="C40" s="4">
        <v>13</v>
      </c>
      <c r="D40" s="4" t="s">
        <v>43</v>
      </c>
    </row>
    <row r="41" spans="2:4" ht="15.75" hidden="1" customHeight="1" x14ac:dyDescent="0.2">
      <c r="B41" s="4" t="s">
        <v>62</v>
      </c>
      <c r="C41" s="4">
        <v>13</v>
      </c>
      <c r="D41" s="4" t="s">
        <v>40</v>
      </c>
    </row>
    <row r="42" spans="2:4" ht="15.75" hidden="1" customHeight="1" x14ac:dyDescent="0.2">
      <c r="B42" s="4" t="s">
        <v>94</v>
      </c>
      <c r="C42" s="4">
        <v>13</v>
      </c>
      <c r="D42" s="4" t="s">
        <v>43</v>
      </c>
    </row>
    <row r="43" spans="2:4" ht="15.75" hidden="1" customHeight="1" x14ac:dyDescent="0.2">
      <c r="B43" s="4" t="s">
        <v>63</v>
      </c>
      <c r="C43" s="4">
        <v>13</v>
      </c>
      <c r="D43" s="4" t="s">
        <v>43</v>
      </c>
    </row>
    <row r="44" spans="2:4" ht="15.75" hidden="1" customHeight="1" x14ac:dyDescent="0.2">
      <c r="B44" s="4" t="s">
        <v>42</v>
      </c>
      <c r="C44" s="4">
        <v>13</v>
      </c>
      <c r="D44" s="4" t="s">
        <v>43</v>
      </c>
    </row>
    <row r="45" spans="2:4" ht="15.75" hidden="1" customHeight="1" x14ac:dyDescent="0.2">
      <c r="B45" s="4" t="s">
        <v>70</v>
      </c>
      <c r="C45" s="4">
        <v>13</v>
      </c>
      <c r="D45" s="4" t="s">
        <v>43</v>
      </c>
    </row>
    <row r="46" spans="2:4" ht="15.75" hidden="1" customHeight="1" x14ac:dyDescent="0.2">
      <c r="B46" s="4" t="s">
        <v>38</v>
      </c>
      <c r="C46" s="4">
        <v>14</v>
      </c>
      <c r="D46" s="4" t="s">
        <v>13</v>
      </c>
    </row>
    <row r="47" spans="2:4" ht="15.75" hidden="1" customHeight="1" x14ac:dyDescent="0.2">
      <c r="B47" s="4" t="s">
        <v>41</v>
      </c>
      <c r="C47" s="4">
        <v>14</v>
      </c>
      <c r="D47" s="4" t="s">
        <v>13</v>
      </c>
    </row>
    <row r="48" spans="2:4" ht="15.75" hidden="1" customHeight="1" x14ac:dyDescent="0.2">
      <c r="B48" s="4" t="s">
        <v>12</v>
      </c>
      <c r="C48" s="4">
        <v>14</v>
      </c>
      <c r="D48" s="4" t="s">
        <v>13</v>
      </c>
    </row>
    <row r="49" spans="2:4" ht="15.75" hidden="1" customHeight="1" x14ac:dyDescent="0.2">
      <c r="B49" s="4" t="s">
        <v>44</v>
      </c>
      <c r="C49" s="4">
        <v>14</v>
      </c>
      <c r="D49" s="4" t="s">
        <v>17</v>
      </c>
    </row>
    <row r="50" spans="2:4" ht="15.75" hidden="1" customHeight="1" x14ac:dyDescent="0.2">
      <c r="B50" s="4" t="s">
        <v>45</v>
      </c>
      <c r="C50" s="4">
        <v>14</v>
      </c>
      <c r="D50" s="4" t="s">
        <v>17</v>
      </c>
    </row>
    <row r="51" spans="2:4" ht="15.75" hidden="1" customHeight="1" x14ac:dyDescent="0.2">
      <c r="B51" s="4" t="s">
        <v>46</v>
      </c>
      <c r="C51" s="4">
        <v>14</v>
      </c>
      <c r="D51" s="4" t="s">
        <v>17</v>
      </c>
    </row>
    <row r="52" spans="2:4" ht="15.75" hidden="1" customHeight="1" x14ac:dyDescent="0.2">
      <c r="B52" s="4" t="s">
        <v>47</v>
      </c>
      <c r="C52" s="4">
        <v>14</v>
      </c>
      <c r="D52" s="4" t="s">
        <v>13</v>
      </c>
    </row>
    <row r="53" spans="2:4" ht="15.75" hidden="1" customHeight="1" x14ac:dyDescent="0.2">
      <c r="B53" s="4" t="s">
        <v>48</v>
      </c>
      <c r="C53" s="4">
        <v>14</v>
      </c>
      <c r="D53" s="4" t="s">
        <v>40</v>
      </c>
    </row>
    <row r="54" spans="2:4" ht="15.75" hidden="1" customHeight="1" x14ac:dyDescent="0.2">
      <c r="B54" s="4" t="s">
        <v>49</v>
      </c>
      <c r="C54" s="4">
        <v>14</v>
      </c>
      <c r="D54" s="4" t="s">
        <v>17</v>
      </c>
    </row>
    <row r="55" spans="2:4" ht="15.75" hidden="1" customHeight="1" x14ac:dyDescent="0.2">
      <c r="B55" s="4" t="s">
        <v>50</v>
      </c>
      <c r="C55" s="4">
        <v>14</v>
      </c>
      <c r="D55" s="4" t="s">
        <v>40</v>
      </c>
    </row>
    <row r="56" spans="2:4" ht="15.75" hidden="1" customHeight="1" x14ac:dyDescent="0.2">
      <c r="B56" s="4" t="s">
        <v>39</v>
      </c>
      <c r="C56" s="4">
        <v>14</v>
      </c>
      <c r="D56" s="4" t="s">
        <v>40</v>
      </c>
    </row>
    <row r="57" spans="2:4" ht="15.75" hidden="1" customHeight="1" x14ac:dyDescent="0.2">
      <c r="B57" s="4" t="s">
        <v>52</v>
      </c>
      <c r="C57" s="4">
        <v>14</v>
      </c>
      <c r="D57" s="4" t="s">
        <v>13</v>
      </c>
    </row>
    <row r="58" spans="2:4" ht="15.75" hidden="1" customHeight="1" x14ac:dyDescent="0.2">
      <c r="B58" s="4" t="s">
        <v>53</v>
      </c>
      <c r="C58" s="4">
        <v>14</v>
      </c>
      <c r="D58" s="4" t="s">
        <v>13</v>
      </c>
    </row>
    <row r="59" spans="2:4" ht="15.75" hidden="1" customHeight="1" x14ac:dyDescent="0.2">
      <c r="B59" s="4" t="s">
        <v>54</v>
      </c>
      <c r="C59" s="4">
        <v>14</v>
      </c>
      <c r="D59" s="4" t="s">
        <v>13</v>
      </c>
    </row>
    <row r="60" spans="2:4" ht="15.75" hidden="1" customHeight="1" x14ac:dyDescent="0.2">
      <c r="B60" s="4" t="s">
        <v>57</v>
      </c>
      <c r="C60" s="4">
        <v>14</v>
      </c>
      <c r="D60" s="4" t="s">
        <v>17</v>
      </c>
    </row>
    <row r="61" spans="2:4" ht="15.75" hidden="1" customHeight="1" x14ac:dyDescent="0.2">
      <c r="B61" s="4" t="s">
        <v>24</v>
      </c>
      <c r="C61" s="4">
        <v>15</v>
      </c>
      <c r="D61" s="4" t="s">
        <v>8</v>
      </c>
    </row>
    <row r="62" spans="2:4" ht="15.75" hidden="1" customHeight="1" x14ac:dyDescent="0.2">
      <c r="B62" s="4" t="s">
        <v>7</v>
      </c>
      <c r="C62" s="4">
        <v>15</v>
      </c>
      <c r="D62" s="4" t="s">
        <v>8</v>
      </c>
    </row>
    <row r="63" spans="2:4" ht="15.75" hidden="1" customHeight="1" x14ac:dyDescent="0.2">
      <c r="B63" s="4" t="s">
        <v>14</v>
      </c>
      <c r="C63" s="4">
        <v>15</v>
      </c>
      <c r="D63" s="4" t="s">
        <v>8</v>
      </c>
    </row>
    <row r="64" spans="2:4" ht="15.75" hidden="1" customHeight="1" x14ac:dyDescent="0.2">
      <c r="B64" s="4" t="s">
        <v>15</v>
      </c>
      <c r="C64" s="4">
        <v>15</v>
      </c>
      <c r="D64" s="4" t="s">
        <v>6</v>
      </c>
    </row>
    <row r="65" spans="2:4" ht="15.75" hidden="1" customHeight="1" x14ac:dyDescent="0.2">
      <c r="B65" s="4" t="s">
        <v>16</v>
      </c>
      <c r="C65" s="4">
        <v>15</v>
      </c>
      <c r="D65" s="4" t="s">
        <v>17</v>
      </c>
    </row>
    <row r="66" spans="2:4" ht="15.75" hidden="1" customHeight="1" x14ac:dyDescent="0.2">
      <c r="B66" s="4" t="s">
        <v>19</v>
      </c>
      <c r="C66" s="4">
        <v>15</v>
      </c>
      <c r="D66" s="4" t="s">
        <v>8</v>
      </c>
    </row>
    <row r="67" spans="2:4" ht="15.75" hidden="1" customHeight="1" x14ac:dyDescent="0.2">
      <c r="B67" s="4" t="s">
        <v>21</v>
      </c>
      <c r="C67" s="4">
        <v>15</v>
      </c>
      <c r="D67" s="4" t="s">
        <v>8</v>
      </c>
    </row>
    <row r="68" spans="2:4" ht="15.75" hidden="1" customHeight="1" x14ac:dyDescent="0.2">
      <c r="B68" s="4" t="s">
        <v>25</v>
      </c>
      <c r="C68" s="4">
        <v>15</v>
      </c>
      <c r="D68" s="4" t="s">
        <v>8</v>
      </c>
    </row>
    <row r="69" spans="2:4" ht="15.75" hidden="1" customHeight="1" x14ac:dyDescent="0.2">
      <c r="B69" s="4" t="s">
        <v>26</v>
      </c>
      <c r="C69" s="4">
        <v>15</v>
      </c>
      <c r="D69" s="4" t="s">
        <v>8</v>
      </c>
    </row>
    <row r="70" spans="2:4" ht="15.75" hidden="1" customHeight="1" x14ac:dyDescent="0.2">
      <c r="B70" s="4" t="s">
        <v>27</v>
      </c>
      <c r="C70" s="4">
        <v>15</v>
      </c>
      <c r="D70" s="4" t="s">
        <v>17</v>
      </c>
    </row>
    <row r="71" spans="2:4" ht="15.75" hidden="1" customHeight="1" x14ac:dyDescent="0.2">
      <c r="B71" s="4" t="s">
        <v>28</v>
      </c>
      <c r="C71" s="4">
        <v>15</v>
      </c>
      <c r="D71" s="4" t="s">
        <v>8</v>
      </c>
    </row>
    <row r="72" spans="2:4" ht="15.75" hidden="1" customHeight="1" x14ac:dyDescent="0.2">
      <c r="B72" s="4" t="s">
        <v>29</v>
      </c>
      <c r="C72" s="4">
        <v>15</v>
      </c>
      <c r="D72" s="4" t="s">
        <v>8</v>
      </c>
    </row>
    <row r="73" spans="2:4" ht="15.75" hidden="1" customHeight="1" x14ac:dyDescent="0.2">
      <c r="B73" s="4" t="s">
        <v>30</v>
      </c>
      <c r="C73" s="4">
        <v>15</v>
      </c>
      <c r="D73" s="4" t="s">
        <v>17</v>
      </c>
    </row>
    <row r="74" spans="2:4" ht="15.75" hidden="1" customHeight="1" x14ac:dyDescent="0.2">
      <c r="B74" s="4" t="s">
        <v>18</v>
      </c>
      <c r="C74" s="4">
        <v>15</v>
      </c>
      <c r="D74" s="4" t="s">
        <v>17</v>
      </c>
    </row>
    <row r="75" spans="2:4" ht="15.75" hidden="1" customHeight="1" x14ac:dyDescent="0.2">
      <c r="B75" s="4" t="s">
        <v>31</v>
      </c>
      <c r="C75" s="4">
        <v>15</v>
      </c>
      <c r="D75" s="4" t="s">
        <v>6</v>
      </c>
    </row>
    <row r="76" spans="2:4" ht="15.75" hidden="1" customHeight="1" x14ac:dyDescent="0.2">
      <c r="B76" s="4" t="s">
        <v>32</v>
      </c>
      <c r="C76" s="4">
        <v>15</v>
      </c>
      <c r="D76" s="4" t="s">
        <v>17</v>
      </c>
    </row>
    <row r="77" spans="2:4" ht="15.75" hidden="1" customHeight="1" x14ac:dyDescent="0.2">
      <c r="B77" s="4" t="s">
        <v>33</v>
      </c>
      <c r="C77" s="4">
        <v>15</v>
      </c>
      <c r="D77" s="4" t="s">
        <v>8</v>
      </c>
    </row>
    <row r="78" spans="2:4" ht="15.75" hidden="1" customHeight="1" x14ac:dyDescent="0.2">
      <c r="B78" s="4" t="s">
        <v>51</v>
      </c>
      <c r="C78" s="4">
        <v>15</v>
      </c>
      <c r="D78" s="4" t="s">
        <v>8</v>
      </c>
    </row>
    <row r="79" spans="2:4" ht="15.75" hidden="1" customHeight="1" x14ac:dyDescent="0.2">
      <c r="B79" s="4" t="s">
        <v>34</v>
      </c>
      <c r="C79" s="4">
        <v>15</v>
      </c>
      <c r="D79" s="4" t="s">
        <v>17</v>
      </c>
    </row>
    <row r="80" spans="2:4" ht="15.75" hidden="1" customHeight="1" x14ac:dyDescent="0.2">
      <c r="B80" s="4" t="s">
        <v>35</v>
      </c>
      <c r="C80" s="4">
        <v>15</v>
      </c>
      <c r="D80" s="4" t="s">
        <v>6</v>
      </c>
    </row>
    <row r="81" spans="2:4" ht="15.75" hidden="1" customHeight="1" x14ac:dyDescent="0.2">
      <c r="B81" s="4" t="s">
        <v>36</v>
      </c>
      <c r="C81" s="4">
        <v>15</v>
      </c>
      <c r="D81" s="4" t="s">
        <v>17</v>
      </c>
    </row>
    <row r="82" spans="2:4" ht="15.75" hidden="1" customHeight="1" x14ac:dyDescent="0.2">
      <c r="B82" s="4" t="s">
        <v>37</v>
      </c>
      <c r="C82" s="4">
        <v>15</v>
      </c>
      <c r="D82" s="4" t="s">
        <v>17</v>
      </c>
    </row>
    <row r="83" spans="2:4" ht="15.75" hidden="1" customHeight="1" x14ac:dyDescent="0.2">
      <c r="B83" s="4" t="s">
        <v>81</v>
      </c>
      <c r="C83" s="4">
        <v>16</v>
      </c>
      <c r="D83" s="4" t="s">
        <v>6</v>
      </c>
    </row>
    <row r="84" spans="2:4" ht="15.75" hidden="1" customHeight="1" x14ac:dyDescent="0.2">
      <c r="B84" s="4" t="s">
        <v>22</v>
      </c>
      <c r="C84" s="4">
        <v>16</v>
      </c>
      <c r="D84" s="4" t="s">
        <v>6</v>
      </c>
    </row>
    <row r="85" spans="2:4" ht="15.75" hidden="1" customHeight="1" x14ac:dyDescent="0.2">
      <c r="B85" s="4" t="s">
        <v>5</v>
      </c>
      <c r="C85" s="4">
        <v>16</v>
      </c>
      <c r="D85" s="4" t="s">
        <v>6</v>
      </c>
    </row>
    <row r="86" spans="2:4" ht="15.75" hidden="1" customHeight="1" x14ac:dyDescent="0.2">
      <c r="B86" s="4" t="s">
        <v>23</v>
      </c>
      <c r="C86" s="4">
        <v>16</v>
      </c>
      <c r="D86" s="4" t="s">
        <v>6</v>
      </c>
    </row>
    <row r="87" spans="2:4" ht="15.75" hidden="1" customHeight="1" x14ac:dyDescent="0.2">
      <c r="B87" s="4" t="s">
        <v>9</v>
      </c>
      <c r="C87" s="4">
        <v>16</v>
      </c>
      <c r="D87" s="4" t="s">
        <v>6</v>
      </c>
    </row>
    <row r="88" spans="2:4" ht="15.75" hidden="1" customHeight="1" x14ac:dyDescent="0.2">
      <c r="B88" s="4" t="s">
        <v>10</v>
      </c>
      <c r="C88" s="4">
        <v>16</v>
      </c>
      <c r="D88" s="4" t="s">
        <v>6</v>
      </c>
    </row>
    <row r="89" spans="2:4" ht="15.75" hidden="1" customHeight="1" x14ac:dyDescent="0.2">
      <c r="B89" s="4" t="s">
        <v>20</v>
      </c>
      <c r="C89" s="4">
        <v>16</v>
      </c>
      <c r="D89" s="4" t="s">
        <v>6</v>
      </c>
    </row>
    <row r="90" spans="2:4" ht="15.75" hidden="1" customHeight="1" x14ac:dyDescent="0.2">
      <c r="B90" s="4" t="s">
        <v>11</v>
      </c>
      <c r="C90" s="4">
        <v>16</v>
      </c>
      <c r="D90" s="4" t="s">
        <v>6</v>
      </c>
    </row>
    <row r="91" spans="2:4" ht="15.75" hidden="1" customHeight="1" x14ac:dyDescent="0.2">
      <c r="B91" s="4" t="s">
        <v>99</v>
      </c>
      <c r="C91" s="4" t="s">
        <v>100</v>
      </c>
      <c r="D91" s="4" t="s">
        <v>95</v>
      </c>
    </row>
    <row r="92" spans="2:4" ht="15.75" hidden="1" customHeight="1" x14ac:dyDescent="0.2">
      <c r="B92" s="4" t="s">
        <v>101</v>
      </c>
      <c r="C92" s="4" t="s">
        <v>100</v>
      </c>
      <c r="D92" s="4" t="s">
        <v>76</v>
      </c>
    </row>
    <row r="93" spans="2:4" ht="15.75" hidden="1" customHeight="1" x14ac:dyDescent="0.2">
      <c r="B93" s="4" t="s">
        <v>102</v>
      </c>
      <c r="C93" s="4" t="s">
        <v>100</v>
      </c>
      <c r="D93" s="4" t="s">
        <v>13</v>
      </c>
    </row>
    <row r="94" spans="2:4" ht="15.75" hidden="1" customHeight="1" x14ac:dyDescent="0.2">
      <c r="B94" s="4" t="s">
        <v>103</v>
      </c>
      <c r="C94" s="4" t="s">
        <v>100</v>
      </c>
      <c r="D94" s="4" t="s">
        <v>84</v>
      </c>
    </row>
    <row r="95" spans="2:4" ht="15.75" hidden="1" customHeight="1" x14ac:dyDescent="0.2">
      <c r="B95" s="4" t="s">
        <v>104</v>
      </c>
      <c r="C95" s="4" t="s">
        <v>100</v>
      </c>
      <c r="D95" s="4" t="s">
        <v>84</v>
      </c>
    </row>
    <row r="96" spans="2:4" ht="15.75" hidden="1" customHeight="1" x14ac:dyDescent="0.2">
      <c r="B96" s="4" t="s">
        <v>105</v>
      </c>
      <c r="C96" s="4" t="s">
        <v>100</v>
      </c>
      <c r="D96" s="4" t="s">
        <v>95</v>
      </c>
    </row>
    <row r="97" spans="2:4" ht="15.75" hidden="1" customHeight="1" x14ac:dyDescent="0.2">
      <c r="B97" s="4" t="s">
        <v>106</v>
      </c>
      <c r="C97" s="4" t="s">
        <v>100</v>
      </c>
      <c r="D97" s="4" t="s">
        <v>76</v>
      </c>
    </row>
    <row r="98" spans="2:4" ht="15.75" hidden="1" customHeight="1" x14ac:dyDescent="0.2">
      <c r="B98" s="4" t="s">
        <v>107</v>
      </c>
      <c r="C98" s="4" t="s">
        <v>100</v>
      </c>
      <c r="D98" s="4" t="s">
        <v>95</v>
      </c>
    </row>
    <row r="99" spans="2:4" ht="15.75" hidden="1" customHeight="1" x14ac:dyDescent="0.2">
      <c r="B99" s="4" t="s">
        <v>108</v>
      </c>
      <c r="C99" s="4" t="s">
        <v>100</v>
      </c>
      <c r="D99" s="4" t="s">
        <v>95</v>
      </c>
    </row>
    <row r="100" spans="2:4" ht="15.75" hidden="1" customHeight="1" x14ac:dyDescent="0.2">
      <c r="B100" s="4" t="s">
        <v>109</v>
      </c>
      <c r="C100" s="4" t="s">
        <v>100</v>
      </c>
      <c r="D100" s="4" t="s">
        <v>13</v>
      </c>
    </row>
    <row r="101" spans="2:4" ht="15.75" hidden="1" customHeight="1" x14ac:dyDescent="0.2">
      <c r="B101" s="4" t="s">
        <v>110</v>
      </c>
      <c r="C101" s="4" t="s">
        <v>100</v>
      </c>
      <c r="D101" s="4" t="s">
        <v>56</v>
      </c>
    </row>
    <row r="102" spans="2:4" ht="15.75" hidden="1" customHeight="1" x14ac:dyDescent="0.2">
      <c r="B102" s="4" t="s">
        <v>111</v>
      </c>
      <c r="C102" s="4" t="s">
        <v>100</v>
      </c>
      <c r="D102" s="4" t="s">
        <v>43</v>
      </c>
    </row>
    <row r="103" spans="2:4" ht="15.75" hidden="1" customHeight="1" x14ac:dyDescent="0.2">
      <c r="B103" s="4" t="s">
        <v>112</v>
      </c>
      <c r="C103" s="4" t="s">
        <v>100</v>
      </c>
      <c r="D103" s="4" t="s">
        <v>43</v>
      </c>
    </row>
    <row r="104" spans="2:4" ht="15.75" customHeight="1" x14ac:dyDescent="0.2">
      <c r="B104" s="4" t="s">
        <v>113</v>
      </c>
      <c r="C104" s="4" t="s">
        <v>100</v>
      </c>
      <c r="D104" s="4" t="s">
        <v>74</v>
      </c>
    </row>
    <row r="105" spans="2:4" ht="15.75" hidden="1" customHeight="1" x14ac:dyDescent="0.2">
      <c r="B105" s="4" t="s">
        <v>114</v>
      </c>
      <c r="C105" s="4" t="s">
        <v>100</v>
      </c>
      <c r="D105" s="4" t="s">
        <v>40</v>
      </c>
    </row>
    <row r="106" spans="2:4" ht="15.75" customHeight="1" x14ac:dyDescent="0.2"/>
    <row r="107" spans="2:4" ht="15.75" customHeight="1" x14ac:dyDescent="0.2"/>
    <row r="108" spans="2:4" ht="15.75" customHeight="1" x14ac:dyDescent="0.2"/>
  </sheetData>
  <autoFilter ref="B4:D105" xr:uid="{00000000-0001-0000-0100-000000000000}">
    <filterColumn colId="2">
      <filters>
        <filter val="Jennifer Garcia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0"/>
  <sheetViews>
    <sheetView topLeftCell="A6" zoomScale="92" workbookViewId="0">
      <selection activeCell="D6" sqref="D6:D20"/>
    </sheetView>
  </sheetViews>
  <sheetFormatPr defaultColWidth="12.5703125" defaultRowHeight="15" customHeight="1" x14ac:dyDescent="0.2"/>
  <cols>
    <col min="1" max="8" width="14.42578125" customWidth="1"/>
  </cols>
  <sheetData>
    <row r="1" spans="1:8" ht="15.75" customHeight="1" x14ac:dyDescent="0.2">
      <c r="A1" s="5"/>
      <c r="B1" s="5"/>
      <c r="C1" s="5"/>
      <c r="D1" s="5"/>
      <c r="E1" s="5"/>
      <c r="F1" s="5"/>
      <c r="G1" s="5"/>
      <c r="H1" s="5"/>
    </row>
    <row r="2" spans="1:8" ht="15.75" customHeight="1" x14ac:dyDescent="0.2">
      <c r="B2" s="6" t="s">
        <v>115</v>
      </c>
      <c r="C2" s="5"/>
      <c r="D2" s="5"/>
      <c r="E2" s="5"/>
      <c r="F2" s="5"/>
      <c r="G2" s="5"/>
      <c r="H2" s="5"/>
    </row>
    <row r="3" spans="1:8" ht="15.75" customHeight="1" x14ac:dyDescent="0.2">
      <c r="A3" s="5"/>
      <c r="B3" s="5"/>
      <c r="C3" s="5"/>
      <c r="D3" s="5"/>
      <c r="E3" s="5"/>
      <c r="F3" s="5"/>
      <c r="G3" s="5"/>
      <c r="H3" s="5"/>
    </row>
    <row r="4" spans="1:8" ht="15.75" customHeight="1" x14ac:dyDescent="0.2">
      <c r="A4" s="5"/>
      <c r="B4" s="5"/>
      <c r="C4" s="5"/>
      <c r="D4" s="5"/>
      <c r="E4" s="5"/>
      <c r="F4" s="5"/>
      <c r="G4" s="5"/>
      <c r="H4" s="5"/>
    </row>
    <row r="5" spans="1:8" ht="15.75" customHeight="1" x14ac:dyDescent="0.2">
      <c r="A5" s="5"/>
      <c r="B5" s="5"/>
      <c r="C5" s="7" t="s">
        <v>116</v>
      </c>
      <c r="D5" s="7" t="s">
        <v>117</v>
      </c>
      <c r="E5" s="7" t="s">
        <v>118</v>
      </c>
      <c r="F5" s="5"/>
      <c r="G5" s="5"/>
      <c r="H5" s="5"/>
    </row>
    <row r="6" spans="1:8" ht="15.75" customHeight="1" x14ac:dyDescent="0.2">
      <c r="A6" s="5"/>
      <c r="B6" s="5"/>
      <c r="C6" s="7" t="s">
        <v>119</v>
      </c>
      <c r="D6" s="8">
        <v>3.5</v>
      </c>
      <c r="E6" s="9">
        <v>0.87</v>
      </c>
      <c r="F6" s="5"/>
      <c r="G6" s="5"/>
      <c r="H6" s="5"/>
    </row>
    <row r="7" spans="1:8" ht="15.75" customHeight="1" x14ac:dyDescent="0.2">
      <c r="A7" s="5"/>
      <c r="B7" s="5"/>
      <c r="C7" s="7" t="s">
        <v>120</v>
      </c>
      <c r="D7" s="8">
        <v>4</v>
      </c>
      <c r="E7" s="9">
        <v>0.83</v>
      </c>
      <c r="F7" s="5"/>
      <c r="G7" s="5"/>
      <c r="H7" s="5"/>
    </row>
    <row r="8" spans="1:8" ht="15.75" customHeight="1" x14ac:dyDescent="0.2">
      <c r="A8" s="5"/>
      <c r="B8" s="5"/>
      <c r="C8" s="7" t="s">
        <v>121</v>
      </c>
      <c r="D8" s="8">
        <v>5</v>
      </c>
      <c r="E8" s="9">
        <v>0.75</v>
      </c>
      <c r="F8" s="5"/>
      <c r="G8" s="5"/>
      <c r="H8" s="5"/>
    </row>
    <row r="9" spans="1:8" ht="15.75" customHeight="1" x14ac:dyDescent="0.2">
      <c r="A9" s="5"/>
      <c r="B9" s="5"/>
      <c r="C9" s="7" t="s">
        <v>122</v>
      </c>
      <c r="D9" s="8">
        <v>5.5</v>
      </c>
      <c r="E9" s="9">
        <v>0.9</v>
      </c>
      <c r="F9" s="5"/>
      <c r="G9" s="5"/>
      <c r="H9" s="5"/>
    </row>
    <row r="10" spans="1:8" ht="15.75" customHeight="1" x14ac:dyDescent="0.2">
      <c r="A10" s="5"/>
      <c r="B10" s="5"/>
      <c r="C10" s="7" t="s">
        <v>123</v>
      </c>
      <c r="D10" s="8">
        <v>4.5</v>
      </c>
      <c r="E10" s="9">
        <v>0.65</v>
      </c>
      <c r="F10" s="5"/>
      <c r="G10" s="5"/>
      <c r="H10" s="5"/>
    </row>
    <row r="11" spans="1:8" ht="15.75" customHeight="1" x14ac:dyDescent="0.2">
      <c r="A11" s="5"/>
      <c r="B11" s="5"/>
      <c r="C11" s="7" t="s">
        <v>124</v>
      </c>
      <c r="D11" s="8">
        <v>6.5</v>
      </c>
      <c r="E11" s="9">
        <v>0.75</v>
      </c>
      <c r="F11" s="5"/>
      <c r="G11" s="5"/>
      <c r="H11" s="5"/>
    </row>
    <row r="12" spans="1:8" ht="15.75" customHeight="1" x14ac:dyDescent="0.2">
      <c r="A12" s="5"/>
      <c r="B12" s="5"/>
      <c r="C12" s="7" t="s">
        <v>125</v>
      </c>
      <c r="D12" s="8">
        <v>7</v>
      </c>
      <c r="E12" s="9">
        <v>0.83</v>
      </c>
      <c r="F12" s="5"/>
      <c r="G12" s="5"/>
      <c r="H12" s="5"/>
    </row>
    <row r="13" spans="1:8" ht="15.75" customHeight="1" x14ac:dyDescent="0.2">
      <c r="A13" s="5"/>
      <c r="B13" s="5"/>
      <c r="C13" s="7" t="s">
        <v>126</v>
      </c>
      <c r="D13" s="8">
        <v>5.5</v>
      </c>
      <c r="E13" s="9">
        <v>0.86</v>
      </c>
      <c r="F13" s="5"/>
      <c r="G13" s="5"/>
      <c r="H13" s="5"/>
    </row>
    <row r="14" spans="1:8" ht="15.75" customHeight="1" x14ac:dyDescent="0.2">
      <c r="A14" s="5"/>
      <c r="B14" s="5"/>
      <c r="C14" s="7" t="s">
        <v>127</v>
      </c>
      <c r="D14" s="8">
        <v>4.5</v>
      </c>
      <c r="E14" s="9">
        <v>0.98</v>
      </c>
      <c r="F14" s="5"/>
      <c r="G14" s="5"/>
      <c r="H14" s="5"/>
    </row>
    <row r="15" spans="1:8" ht="15.75" customHeight="1" x14ac:dyDescent="0.2">
      <c r="A15" s="5"/>
      <c r="B15" s="5"/>
      <c r="C15" s="7" t="s">
        <v>128</v>
      </c>
      <c r="D15" s="8">
        <v>4.5</v>
      </c>
      <c r="E15" s="9">
        <v>0.7</v>
      </c>
      <c r="F15" s="5"/>
      <c r="G15" s="5"/>
      <c r="H15" s="5"/>
    </row>
    <row r="16" spans="1:8" ht="15.75" customHeight="1" x14ac:dyDescent="0.2">
      <c r="A16" s="5"/>
      <c r="B16" s="5"/>
      <c r="C16" s="7" t="s">
        <v>129</v>
      </c>
      <c r="D16" s="8">
        <v>5</v>
      </c>
      <c r="E16" s="9">
        <v>0.85</v>
      </c>
      <c r="F16" s="5"/>
      <c r="G16" s="5"/>
      <c r="H16" s="5"/>
    </row>
    <row r="17" spans="1:8" ht="15.75" customHeight="1" x14ac:dyDescent="0.2">
      <c r="A17" s="5"/>
      <c r="B17" s="5"/>
      <c r="C17" s="7" t="s">
        <v>130</v>
      </c>
      <c r="D17" s="8">
        <v>6</v>
      </c>
      <c r="E17" s="9">
        <v>0.77</v>
      </c>
      <c r="F17" s="5"/>
      <c r="G17" s="5"/>
      <c r="H17" s="5"/>
    </row>
    <row r="18" spans="1:8" ht="15.75" customHeight="1" x14ac:dyDescent="0.2">
      <c r="A18" s="5"/>
      <c r="B18" s="5"/>
      <c r="C18" s="7" t="s">
        <v>131</v>
      </c>
      <c r="D18" s="8">
        <v>6.5</v>
      </c>
      <c r="E18" s="9">
        <v>0.83</v>
      </c>
      <c r="F18" s="5"/>
      <c r="G18" s="5"/>
      <c r="H18" s="5"/>
    </row>
    <row r="19" spans="1:8" ht="15.75" customHeight="1" x14ac:dyDescent="0.2">
      <c r="A19" s="5"/>
      <c r="B19" s="5"/>
      <c r="C19" s="7" t="s">
        <v>132</v>
      </c>
      <c r="D19" s="8">
        <v>4</v>
      </c>
      <c r="E19" s="9">
        <v>0.76</v>
      </c>
      <c r="F19" s="5"/>
      <c r="G19" s="5"/>
      <c r="H19" s="5"/>
    </row>
    <row r="20" spans="1:8" ht="15.75" customHeight="1" x14ac:dyDescent="0.2">
      <c r="A20" s="5"/>
      <c r="B20" s="5"/>
      <c r="C20" s="7" t="s">
        <v>133</v>
      </c>
      <c r="D20" s="8">
        <v>5</v>
      </c>
      <c r="E20" s="9">
        <v>0.76</v>
      </c>
      <c r="F20" s="5"/>
      <c r="G20" s="5"/>
      <c r="H20" s="5"/>
    </row>
    <row r="21" spans="1:8" ht="15.75" customHeight="1" x14ac:dyDescent="0.2">
      <c r="A21" s="5"/>
      <c r="B21" s="5"/>
      <c r="C21" s="5"/>
      <c r="D21" s="5"/>
      <c r="E21" s="5"/>
      <c r="F21" s="5"/>
      <c r="G21" s="5"/>
      <c r="H21" s="5"/>
    </row>
    <row r="22" spans="1:8" ht="15.75" customHeight="1" x14ac:dyDescent="0.2">
      <c r="A22" s="5"/>
      <c r="C22" s="5"/>
      <c r="D22" s="5"/>
      <c r="E22" s="5"/>
      <c r="F22" s="5"/>
      <c r="G22" s="5"/>
      <c r="H22" s="5"/>
    </row>
    <row r="23" spans="1:8" ht="15.75" customHeight="1" x14ac:dyDescent="0.2">
      <c r="A23" s="5"/>
      <c r="B23" s="5"/>
      <c r="C23" s="10" t="s">
        <v>134</v>
      </c>
      <c r="D23" s="5" t="s">
        <v>135</v>
      </c>
      <c r="E23" s="5"/>
      <c r="F23" s="5"/>
      <c r="G23" s="5"/>
      <c r="H23" s="5"/>
    </row>
    <row r="24" spans="1:8" ht="15.75" customHeight="1" x14ac:dyDescent="0.2">
      <c r="A24" s="5"/>
      <c r="B24" s="5"/>
      <c r="C24" s="11" t="s">
        <v>136</v>
      </c>
      <c r="D24" s="5" t="s">
        <v>137</v>
      </c>
      <c r="E24" s="5"/>
      <c r="F24" s="5"/>
      <c r="G24" s="5"/>
      <c r="H24" s="5"/>
    </row>
    <row r="25" spans="1:8" ht="15.75" customHeight="1" x14ac:dyDescent="0.2">
      <c r="A25" s="5"/>
      <c r="B25" s="5"/>
      <c r="C25" s="5"/>
      <c r="D25" s="5"/>
      <c r="E25" s="5"/>
      <c r="F25" s="5"/>
      <c r="G25" s="5"/>
      <c r="H25" s="5"/>
    </row>
    <row r="26" spans="1:8" ht="15.75" customHeight="1" x14ac:dyDescent="0.2">
      <c r="A26" s="5"/>
      <c r="B26" s="6" t="s">
        <v>138</v>
      </c>
      <c r="C26" s="5"/>
      <c r="D26" s="5"/>
      <c r="E26" s="5"/>
      <c r="F26" s="5"/>
      <c r="G26" s="5"/>
      <c r="H26" s="5"/>
    </row>
    <row r="27" spans="1:8" ht="15.75" customHeight="1" x14ac:dyDescent="0.2">
      <c r="A27" s="5"/>
      <c r="B27" s="6" t="s">
        <v>139</v>
      </c>
      <c r="C27" s="5"/>
      <c r="D27" s="5"/>
      <c r="E27" s="5"/>
      <c r="F27" s="5"/>
      <c r="G27" s="5"/>
      <c r="H27" s="5"/>
    </row>
    <row r="28" spans="1:8" ht="15.75" customHeight="1" x14ac:dyDescent="0.2">
      <c r="A28" s="5"/>
      <c r="B28" s="5"/>
      <c r="C28" s="5"/>
      <c r="D28" s="5"/>
      <c r="E28" s="5"/>
      <c r="F28" s="5"/>
      <c r="G28" s="5"/>
      <c r="H28" s="5"/>
    </row>
    <row r="29" spans="1:8" ht="15.75" customHeight="1" x14ac:dyDescent="0.2">
      <c r="A29" s="5"/>
      <c r="B29" s="5"/>
      <c r="C29" s="5"/>
      <c r="D29" s="5"/>
      <c r="E29" s="5"/>
      <c r="F29" s="5"/>
      <c r="G29" s="5"/>
      <c r="H29" s="5"/>
    </row>
    <row r="30" spans="1:8" ht="15.75" customHeight="1" x14ac:dyDescent="0.2">
      <c r="A30" s="5"/>
      <c r="B30" s="5"/>
      <c r="C30" s="5"/>
      <c r="D30" s="5"/>
      <c r="E30" s="5"/>
      <c r="F30" s="5"/>
      <c r="G30" s="5"/>
      <c r="H30" s="5"/>
    </row>
  </sheetData>
  <conditionalFormatting sqref="D5:D20">
    <cfRule type="cellIs" dxfId="2" priority="3" operator="lessThan">
      <formula>5</formula>
    </cfRule>
  </conditionalFormatting>
  <conditionalFormatting sqref="E6:E20">
    <cfRule type="cellIs" dxfId="1" priority="2" operator="greaterThan">
      <formula>0.83</formula>
    </cfRule>
  </conditionalFormatting>
  <conditionalFormatting sqref="D6:D20">
    <cfRule type="cellIs" dxfId="0" priority="1" operator="lessThan">
      <formula>5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4"/>
  <sheetViews>
    <sheetView topLeftCell="A6" workbookViewId="0">
      <selection activeCell="N21" sqref="N21"/>
    </sheetView>
  </sheetViews>
  <sheetFormatPr defaultColWidth="12.5703125" defaultRowHeight="15" customHeight="1" x14ac:dyDescent="0.2"/>
  <cols>
    <col min="1" max="1" width="24" customWidth="1"/>
    <col min="2" max="2" width="6.5703125" customWidth="1"/>
    <col min="3" max="3" width="14.42578125" customWidth="1"/>
    <col min="4" max="5" width="11.140625" customWidth="1"/>
    <col min="6" max="7" width="8.140625" customWidth="1"/>
    <col min="8" max="8" width="11.42578125" customWidth="1"/>
    <col min="9" max="12" width="8.140625" customWidth="1"/>
    <col min="13" max="13" width="5.5703125" customWidth="1"/>
    <col min="14" max="16" width="14.42578125" customWidth="1"/>
  </cols>
  <sheetData>
    <row r="1" spans="1:16" ht="15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5.75" customHeight="1" x14ac:dyDescent="0.2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.75" customHeight="1" x14ac:dyDescent="0.2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5.75" customHeight="1" x14ac:dyDescent="0.2">
      <c r="A4" s="5"/>
      <c r="B4" s="6" t="s">
        <v>140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5.75" customHeight="1" x14ac:dyDescent="0.2">
      <c r="A7" s="5"/>
      <c r="B7" s="7"/>
      <c r="C7" s="12" t="s">
        <v>227</v>
      </c>
      <c r="D7" s="13">
        <v>44287</v>
      </c>
      <c r="E7" s="13">
        <v>44288</v>
      </c>
      <c r="F7" s="13">
        <v>44289</v>
      </c>
      <c r="G7" s="13">
        <v>44290</v>
      </c>
      <c r="H7" s="13">
        <v>44291</v>
      </c>
      <c r="I7" s="13">
        <v>44292</v>
      </c>
      <c r="J7" s="13">
        <v>44293</v>
      </c>
      <c r="K7" s="13">
        <v>44294</v>
      </c>
      <c r="L7" s="13">
        <v>44295</v>
      </c>
      <c r="M7" s="5"/>
      <c r="N7" s="14" t="s">
        <v>141</v>
      </c>
      <c r="O7" s="5"/>
      <c r="P7" s="5"/>
    </row>
    <row r="8" spans="1:16" ht="15.75" customHeight="1" x14ac:dyDescent="0.2">
      <c r="A8" s="5"/>
      <c r="B8" s="7">
        <v>1</v>
      </c>
      <c r="C8" s="7" t="s">
        <v>119</v>
      </c>
      <c r="D8" s="7" t="s">
        <v>142</v>
      </c>
      <c r="E8" s="7" t="s">
        <v>143</v>
      </c>
      <c r="F8" s="7" t="s">
        <v>142</v>
      </c>
      <c r="G8" s="7" t="s">
        <v>143</v>
      </c>
      <c r="H8" s="7" t="s">
        <v>144</v>
      </c>
      <c r="I8" s="7" t="s">
        <v>145</v>
      </c>
      <c r="J8" s="7" t="s">
        <v>146</v>
      </c>
      <c r="K8" s="7" t="s">
        <v>142</v>
      </c>
      <c r="L8" s="7" t="s">
        <v>143</v>
      </c>
      <c r="M8" s="5"/>
      <c r="N8" s="5" t="s">
        <v>142</v>
      </c>
      <c r="O8" s="5"/>
      <c r="P8" s="5"/>
    </row>
    <row r="9" spans="1:16" ht="15.75" customHeight="1" x14ac:dyDescent="0.2">
      <c r="A9" s="5"/>
      <c r="B9" s="7">
        <v>2</v>
      </c>
      <c r="C9" s="7" t="s">
        <v>120</v>
      </c>
      <c r="D9" s="7" t="s">
        <v>143</v>
      </c>
      <c r="E9" s="7" t="s">
        <v>143</v>
      </c>
      <c r="F9" s="7" t="s">
        <v>144</v>
      </c>
      <c r="G9" s="7" t="s">
        <v>142</v>
      </c>
      <c r="H9" s="7" t="s">
        <v>145</v>
      </c>
      <c r="I9" s="7" t="s">
        <v>143</v>
      </c>
      <c r="J9" s="7" t="s">
        <v>146</v>
      </c>
      <c r="K9" s="7" t="s">
        <v>144</v>
      </c>
      <c r="L9" s="7" t="s">
        <v>143</v>
      </c>
      <c r="M9" s="5"/>
      <c r="N9" s="5" t="s">
        <v>143</v>
      </c>
      <c r="O9" s="5"/>
      <c r="P9" s="5"/>
    </row>
    <row r="10" spans="1:16" ht="15.75" customHeight="1" x14ac:dyDescent="0.2">
      <c r="A10" s="5"/>
      <c r="B10" s="7">
        <v>3</v>
      </c>
      <c r="C10" s="7" t="s">
        <v>121</v>
      </c>
      <c r="D10" s="7" t="s">
        <v>144</v>
      </c>
      <c r="E10" s="7" t="s">
        <v>145</v>
      </c>
      <c r="F10" s="7" t="s">
        <v>142</v>
      </c>
      <c r="G10" s="7" t="s">
        <v>143</v>
      </c>
      <c r="H10" s="7" t="s">
        <v>146</v>
      </c>
      <c r="I10" s="7" t="s">
        <v>143</v>
      </c>
      <c r="J10" s="7" t="s">
        <v>145</v>
      </c>
      <c r="K10" s="7" t="s">
        <v>143</v>
      </c>
      <c r="L10" s="7" t="s">
        <v>142</v>
      </c>
      <c r="M10" s="5"/>
      <c r="N10" s="5" t="s">
        <v>144</v>
      </c>
      <c r="O10" s="5"/>
      <c r="P10" s="5"/>
    </row>
    <row r="11" spans="1:16" ht="15.75" customHeight="1" x14ac:dyDescent="0.2">
      <c r="A11" s="5"/>
      <c r="B11" s="7">
        <v>4</v>
      </c>
      <c r="C11" s="7" t="s">
        <v>122</v>
      </c>
      <c r="D11" s="7" t="s">
        <v>145</v>
      </c>
      <c r="E11" s="7" t="s">
        <v>143</v>
      </c>
      <c r="F11" s="7" t="s">
        <v>145</v>
      </c>
      <c r="G11" s="7" t="s">
        <v>146</v>
      </c>
      <c r="H11" s="7" t="s">
        <v>143</v>
      </c>
      <c r="I11" s="7" t="s">
        <v>144</v>
      </c>
      <c r="J11" s="7" t="s">
        <v>145</v>
      </c>
      <c r="K11" s="7" t="s">
        <v>143</v>
      </c>
      <c r="L11" s="7" t="s">
        <v>145</v>
      </c>
      <c r="M11" s="5"/>
      <c r="N11" s="5" t="s">
        <v>145</v>
      </c>
      <c r="O11" s="5"/>
      <c r="P11" s="5"/>
    </row>
    <row r="12" spans="1:16" ht="15.75" customHeight="1" x14ac:dyDescent="0.2">
      <c r="A12" s="5"/>
      <c r="B12" s="7">
        <v>5</v>
      </c>
      <c r="C12" s="7" t="s">
        <v>123</v>
      </c>
      <c r="D12" s="7" t="s">
        <v>143</v>
      </c>
      <c r="E12" s="7" t="s">
        <v>145</v>
      </c>
      <c r="F12" s="7" t="s">
        <v>145</v>
      </c>
      <c r="G12" s="7" t="s">
        <v>146</v>
      </c>
      <c r="H12" s="7" t="s">
        <v>145</v>
      </c>
      <c r="I12" s="7" t="s">
        <v>143</v>
      </c>
      <c r="J12" s="7" t="s">
        <v>142</v>
      </c>
      <c r="K12" s="7" t="s">
        <v>146</v>
      </c>
      <c r="L12" s="7" t="s">
        <v>143</v>
      </c>
      <c r="M12" s="5"/>
      <c r="N12" s="5" t="s">
        <v>146</v>
      </c>
      <c r="O12" s="5"/>
      <c r="P12" s="5"/>
    </row>
    <row r="13" spans="1:16" ht="15.75" customHeight="1" x14ac:dyDescent="0.2">
      <c r="A13" s="5"/>
      <c r="B13" s="7">
        <v>6</v>
      </c>
      <c r="C13" s="7" t="s">
        <v>124</v>
      </c>
      <c r="D13" s="7" t="s">
        <v>145</v>
      </c>
      <c r="E13" s="7" t="s">
        <v>144</v>
      </c>
      <c r="F13" s="7" t="s">
        <v>143</v>
      </c>
      <c r="G13" s="7" t="s">
        <v>145</v>
      </c>
      <c r="H13" s="7" t="s">
        <v>143</v>
      </c>
      <c r="I13" s="7" t="s">
        <v>144</v>
      </c>
      <c r="J13" s="7" t="s">
        <v>145</v>
      </c>
      <c r="K13" s="7" t="s">
        <v>143</v>
      </c>
      <c r="L13" s="7" t="s">
        <v>143</v>
      </c>
      <c r="M13" s="5"/>
      <c r="N13" s="5"/>
      <c r="O13" s="5"/>
      <c r="P13" s="5"/>
    </row>
    <row r="14" spans="1:16" ht="15.75" customHeight="1" x14ac:dyDescent="0.2">
      <c r="A14" s="5"/>
      <c r="B14" s="7">
        <v>7</v>
      </c>
      <c r="C14" s="7" t="s">
        <v>125</v>
      </c>
      <c r="D14" s="7" t="s">
        <v>143</v>
      </c>
      <c r="E14" s="7" t="s">
        <v>143</v>
      </c>
      <c r="F14" s="7" t="s">
        <v>143</v>
      </c>
      <c r="G14" s="7" t="s">
        <v>143</v>
      </c>
      <c r="H14" s="7" t="s">
        <v>143</v>
      </c>
      <c r="I14" s="7" t="s">
        <v>143</v>
      </c>
      <c r="J14" s="7" t="s">
        <v>143</v>
      </c>
      <c r="K14" s="7" t="s">
        <v>144</v>
      </c>
      <c r="L14" s="7" t="s">
        <v>143</v>
      </c>
      <c r="M14" s="5"/>
      <c r="N14" s="5"/>
      <c r="O14" s="5"/>
      <c r="P14" s="5"/>
    </row>
    <row r="15" spans="1:16" ht="15.75" customHeight="1" x14ac:dyDescent="0.2">
      <c r="A15" s="5"/>
      <c r="B15" s="7">
        <v>8</v>
      </c>
      <c r="C15" s="7" t="s">
        <v>126</v>
      </c>
      <c r="D15" s="7" t="s">
        <v>146</v>
      </c>
      <c r="E15" s="7" t="s">
        <v>143</v>
      </c>
      <c r="F15" s="7" t="s">
        <v>142</v>
      </c>
      <c r="G15" s="7" t="s">
        <v>145</v>
      </c>
      <c r="H15" s="7" t="s">
        <v>144</v>
      </c>
      <c r="I15" s="7" t="s">
        <v>144</v>
      </c>
      <c r="J15" s="7" t="s">
        <v>144</v>
      </c>
      <c r="K15" s="7" t="s">
        <v>142</v>
      </c>
      <c r="L15" s="7" t="s">
        <v>142</v>
      </c>
      <c r="M15" s="5"/>
      <c r="N15" s="5"/>
      <c r="O15" s="5"/>
      <c r="P15" s="5"/>
    </row>
    <row r="16" spans="1:16" ht="15.75" customHeight="1" x14ac:dyDescent="0.2">
      <c r="A16" s="5"/>
      <c r="B16" s="7">
        <v>9</v>
      </c>
      <c r="C16" s="7" t="s">
        <v>127</v>
      </c>
      <c r="D16" s="7" t="s">
        <v>142</v>
      </c>
      <c r="E16" s="7" t="s">
        <v>142</v>
      </c>
      <c r="F16" s="7" t="s">
        <v>145</v>
      </c>
      <c r="G16" s="7" t="s">
        <v>143</v>
      </c>
      <c r="H16" s="7" t="s">
        <v>145</v>
      </c>
      <c r="I16" s="7" t="s">
        <v>142</v>
      </c>
      <c r="J16" s="7" t="s">
        <v>142</v>
      </c>
      <c r="K16" s="7" t="s">
        <v>144</v>
      </c>
      <c r="L16" s="7" t="s">
        <v>145</v>
      </c>
      <c r="M16" s="5"/>
      <c r="N16" s="5"/>
      <c r="O16" s="5"/>
      <c r="P16" s="5"/>
    </row>
    <row r="17" spans="1:16" ht="15.75" customHeight="1" x14ac:dyDescent="0.2">
      <c r="A17" s="5"/>
      <c r="B17" s="7">
        <v>10</v>
      </c>
      <c r="C17" s="7" t="s">
        <v>128</v>
      </c>
      <c r="D17" s="7" t="s">
        <v>145</v>
      </c>
      <c r="E17" s="7" t="s">
        <v>145</v>
      </c>
      <c r="F17" s="7" t="s">
        <v>144</v>
      </c>
      <c r="G17" s="7" t="s">
        <v>145</v>
      </c>
      <c r="H17" s="7" t="s">
        <v>145</v>
      </c>
      <c r="I17" s="7" t="s">
        <v>143</v>
      </c>
      <c r="J17" s="7" t="s">
        <v>142</v>
      </c>
      <c r="K17" s="7" t="s">
        <v>145</v>
      </c>
      <c r="L17" s="7" t="s">
        <v>143</v>
      </c>
      <c r="M17" s="5"/>
      <c r="N17" s="5"/>
      <c r="O17" s="5"/>
      <c r="P17" s="5"/>
    </row>
    <row r="18" spans="1:16" ht="15.75" customHeight="1" x14ac:dyDescent="0.2">
      <c r="A18" s="5"/>
      <c r="B18" s="7">
        <v>11</v>
      </c>
      <c r="C18" s="7" t="s">
        <v>129</v>
      </c>
      <c r="D18" s="7" t="s">
        <v>143</v>
      </c>
      <c r="E18" s="7" t="s">
        <v>145</v>
      </c>
      <c r="F18" s="7" t="s">
        <v>143</v>
      </c>
      <c r="G18" s="7" t="s">
        <v>146</v>
      </c>
      <c r="H18" s="7" t="s">
        <v>143</v>
      </c>
      <c r="I18" s="7" t="s">
        <v>145</v>
      </c>
      <c r="J18" s="7" t="s">
        <v>145</v>
      </c>
      <c r="K18" s="7" t="s">
        <v>146</v>
      </c>
      <c r="L18" s="7" t="s">
        <v>143</v>
      </c>
      <c r="M18" s="5"/>
      <c r="N18" s="5"/>
      <c r="O18" s="5"/>
      <c r="P18" s="5"/>
    </row>
    <row r="19" spans="1:16" ht="15.75" customHeight="1" x14ac:dyDescent="0.2">
      <c r="A19" s="5"/>
      <c r="B19" s="7">
        <v>12</v>
      </c>
      <c r="C19" s="7" t="s">
        <v>130</v>
      </c>
      <c r="D19" s="7" t="s">
        <v>145</v>
      </c>
      <c r="E19" s="7" t="s">
        <v>144</v>
      </c>
      <c r="F19" s="7" t="s">
        <v>145</v>
      </c>
      <c r="G19" s="7" t="s">
        <v>145</v>
      </c>
      <c r="H19" s="7" t="s">
        <v>145</v>
      </c>
      <c r="I19" s="7" t="s">
        <v>146</v>
      </c>
      <c r="J19" s="7" t="s">
        <v>146</v>
      </c>
      <c r="K19" s="7" t="s">
        <v>146</v>
      </c>
      <c r="L19" s="7" t="s">
        <v>143</v>
      </c>
      <c r="M19" s="5"/>
      <c r="N19" s="5"/>
      <c r="O19" s="5"/>
      <c r="P19" s="5"/>
    </row>
    <row r="20" spans="1:16" ht="15.75" customHeight="1" x14ac:dyDescent="0.2">
      <c r="A20" s="5"/>
      <c r="B20" s="7">
        <v>13</v>
      </c>
      <c r="C20" s="7" t="s">
        <v>131</v>
      </c>
      <c r="D20" s="7" t="s">
        <v>142</v>
      </c>
      <c r="E20" s="7" t="s">
        <v>146</v>
      </c>
      <c r="F20" s="7" t="s">
        <v>146</v>
      </c>
      <c r="G20" s="7" t="s">
        <v>143</v>
      </c>
      <c r="H20" s="7" t="s">
        <v>146</v>
      </c>
      <c r="I20" s="7" t="s">
        <v>142</v>
      </c>
      <c r="J20" s="7" t="s">
        <v>142</v>
      </c>
      <c r="K20" s="7" t="s">
        <v>143</v>
      </c>
      <c r="L20" s="7" t="s">
        <v>142</v>
      </c>
      <c r="M20" s="5"/>
      <c r="N20" s="5"/>
      <c r="O20" s="5"/>
      <c r="P20" s="5"/>
    </row>
    <row r="21" spans="1:16" ht="15.75" customHeight="1" x14ac:dyDescent="0.2">
      <c r="A21" s="5"/>
      <c r="B21" s="7">
        <v>14</v>
      </c>
      <c r="C21" s="7" t="s">
        <v>132</v>
      </c>
      <c r="D21" s="7"/>
      <c r="E21" s="7"/>
      <c r="F21" s="7"/>
      <c r="G21" s="7"/>
      <c r="H21" s="7"/>
      <c r="I21" s="7"/>
      <c r="J21" s="7"/>
      <c r="K21" s="7"/>
      <c r="L21" s="7"/>
      <c r="M21" s="5"/>
      <c r="N21" s="5"/>
      <c r="O21" s="5"/>
      <c r="P21" s="5"/>
    </row>
    <row r="22" spans="1:16" ht="15.75" customHeight="1" x14ac:dyDescent="0.2">
      <c r="A22" s="5"/>
      <c r="B22" s="7">
        <v>15</v>
      </c>
      <c r="C22" s="7" t="s">
        <v>133</v>
      </c>
      <c r="D22" s="7"/>
      <c r="E22" s="7"/>
      <c r="F22" s="7"/>
      <c r="G22" s="7"/>
      <c r="H22" s="7"/>
      <c r="I22" s="7"/>
      <c r="J22" s="7"/>
      <c r="K22" s="7"/>
      <c r="L22" s="7"/>
      <c r="M22" s="5"/>
      <c r="N22" s="5"/>
      <c r="O22" s="5"/>
      <c r="P22" s="5"/>
    </row>
    <row r="23" spans="1:1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</sheetData>
  <dataValidations count="1">
    <dataValidation type="list" allowBlank="1" showInputMessage="1" showErrorMessage="1" sqref="D7:L22" xr:uid="{D1AEAE42-0865-4A34-AFD6-316D2E347410}">
      <formula1>"VL, SL, VLWOP, SLWOP, PL/ML"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53"/>
  <sheetViews>
    <sheetView tabSelected="1" zoomScale="74" workbookViewId="0">
      <selection activeCell="P8" sqref="P8"/>
    </sheetView>
  </sheetViews>
  <sheetFormatPr defaultColWidth="12.5703125" defaultRowHeight="15" customHeight="1" x14ac:dyDescent="0.2"/>
  <cols>
    <col min="1" max="1" width="10" customWidth="1"/>
    <col min="2" max="2" width="17.140625" customWidth="1"/>
    <col min="3" max="3" width="11.42578125" customWidth="1"/>
    <col min="4" max="4" width="15" customWidth="1"/>
    <col min="5" max="5" width="10.85546875" customWidth="1"/>
    <col min="6" max="6" width="8.140625" customWidth="1"/>
    <col min="7" max="7" width="8.42578125" customWidth="1"/>
    <col min="8" max="8" width="7.42578125" customWidth="1"/>
    <col min="9" max="9" width="13.85546875" customWidth="1"/>
    <col min="12" max="13" width="8.85546875" customWidth="1"/>
    <col min="14" max="17" width="14.140625" customWidth="1"/>
    <col min="18" max="18" width="8.85546875" customWidth="1"/>
    <col min="19" max="23" width="6.42578125" customWidth="1"/>
    <col min="24" max="24" width="8.85546875" customWidth="1"/>
  </cols>
  <sheetData>
    <row r="1" spans="1:24" x14ac:dyDescent="0.2">
      <c r="A1" s="15" t="s">
        <v>147</v>
      </c>
      <c r="B1" s="16" t="s">
        <v>148</v>
      </c>
      <c r="C1" s="16" t="s">
        <v>149</v>
      </c>
      <c r="D1" s="16" t="s">
        <v>150</v>
      </c>
      <c r="E1" s="16" t="s">
        <v>151</v>
      </c>
      <c r="F1" s="17" t="s">
        <v>152</v>
      </c>
      <c r="G1" s="16" t="s">
        <v>153</v>
      </c>
      <c r="H1" s="16" t="s">
        <v>154</v>
      </c>
      <c r="I1" s="18" t="s">
        <v>155</v>
      </c>
      <c r="J1" s="19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">
      <c r="A2" s="21">
        <v>111</v>
      </c>
      <c r="B2" s="22" t="s">
        <v>156</v>
      </c>
      <c r="C2" s="23">
        <v>43961</v>
      </c>
      <c r="D2" s="22" t="s">
        <v>157</v>
      </c>
      <c r="E2" s="23">
        <v>43941</v>
      </c>
      <c r="F2" s="24">
        <v>10</v>
      </c>
      <c r="G2" s="22">
        <v>111112</v>
      </c>
      <c r="H2" s="22">
        <v>2000458</v>
      </c>
      <c r="I2" s="25" t="s">
        <v>158</v>
      </c>
      <c r="J2" s="1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x14ac:dyDescent="0.2">
      <c r="A3" s="21">
        <v>111</v>
      </c>
      <c r="B3" s="22" t="s">
        <v>156</v>
      </c>
      <c r="C3" s="23">
        <v>43963</v>
      </c>
      <c r="D3" s="22" t="s">
        <v>157</v>
      </c>
      <c r="E3" s="23">
        <v>43938</v>
      </c>
      <c r="F3" s="24">
        <v>10</v>
      </c>
      <c r="G3" s="22">
        <v>111115</v>
      </c>
      <c r="H3" s="22">
        <v>2000461</v>
      </c>
      <c r="I3" s="25" t="s">
        <v>158</v>
      </c>
      <c r="J3" s="1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x14ac:dyDescent="0.2">
      <c r="A4" s="21">
        <v>112</v>
      </c>
      <c r="B4" s="22" t="s">
        <v>156</v>
      </c>
      <c r="C4" s="23">
        <v>43965</v>
      </c>
      <c r="D4" s="22" t="s">
        <v>157</v>
      </c>
      <c r="E4" s="23">
        <v>43929</v>
      </c>
      <c r="F4" s="24">
        <v>10</v>
      </c>
      <c r="G4" s="22">
        <v>111116</v>
      </c>
      <c r="H4" s="22">
        <v>2000462</v>
      </c>
      <c r="I4" s="25" t="s">
        <v>158</v>
      </c>
      <c r="J4" s="19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x14ac:dyDescent="0.2">
      <c r="A5" s="21">
        <v>112</v>
      </c>
      <c r="B5" s="22" t="s">
        <v>156</v>
      </c>
      <c r="C5" s="23">
        <v>43975</v>
      </c>
      <c r="D5" s="22" t="s">
        <v>157</v>
      </c>
      <c r="E5" s="23">
        <v>43865</v>
      </c>
      <c r="F5" s="24">
        <v>10</v>
      </c>
      <c r="G5" s="22">
        <v>111117</v>
      </c>
      <c r="H5" s="22">
        <v>2000463</v>
      </c>
      <c r="I5" s="25" t="s">
        <v>158</v>
      </c>
      <c r="J5" s="1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x14ac:dyDescent="0.2">
      <c r="A6" s="21">
        <v>123</v>
      </c>
      <c r="B6" s="22" t="s">
        <v>159</v>
      </c>
      <c r="C6" s="23">
        <v>43954</v>
      </c>
      <c r="D6" s="22" t="s">
        <v>157</v>
      </c>
      <c r="E6" s="23">
        <v>43927</v>
      </c>
      <c r="F6" s="24">
        <v>20</v>
      </c>
      <c r="G6" s="22">
        <v>222224</v>
      </c>
      <c r="H6" s="22">
        <v>2000479</v>
      </c>
      <c r="I6" s="25" t="s">
        <v>158</v>
      </c>
      <c r="J6" s="19"/>
      <c r="K6" s="20"/>
      <c r="L6" s="26" t="s">
        <v>147</v>
      </c>
      <c r="M6" s="26" t="s">
        <v>148</v>
      </c>
      <c r="N6" s="26" t="s">
        <v>160</v>
      </c>
      <c r="O6" s="26" t="s">
        <v>161</v>
      </c>
      <c r="P6" s="26" t="s">
        <v>162</v>
      </c>
      <c r="Q6" s="26" t="s">
        <v>163</v>
      </c>
      <c r="R6" s="20"/>
      <c r="S6" s="56" t="s">
        <v>225</v>
      </c>
      <c r="T6" s="57"/>
      <c r="U6" s="57"/>
      <c r="V6" s="57"/>
      <c r="W6" s="58"/>
      <c r="X6" s="20"/>
    </row>
    <row r="7" spans="1:24" x14ac:dyDescent="0.2">
      <c r="A7" s="21">
        <v>123</v>
      </c>
      <c r="B7" s="22" t="s">
        <v>159</v>
      </c>
      <c r="C7" s="23">
        <v>43955</v>
      </c>
      <c r="D7" s="22" t="s">
        <v>157</v>
      </c>
      <c r="E7" s="23">
        <v>43938</v>
      </c>
      <c r="F7" s="24">
        <v>20</v>
      </c>
      <c r="G7" s="22">
        <v>222228</v>
      </c>
      <c r="H7" s="22">
        <v>2000483</v>
      </c>
      <c r="I7" s="25" t="s">
        <v>158</v>
      </c>
      <c r="J7" s="19"/>
      <c r="K7" s="20"/>
      <c r="L7" s="27">
        <v>111</v>
      </c>
      <c r="M7" s="27" t="s">
        <v>156</v>
      </c>
      <c r="N7" s="22">
        <f>COUNTIFS(A:A,A2,I:I,"Chargeback")</f>
        <v>3</v>
      </c>
      <c r="O7" s="22">
        <f>SUMIFS($F:$F,$A:$A,$A2,$I:$I,"Chargeback")</f>
        <v>30</v>
      </c>
      <c r="P7" s="22">
        <f>COUNTIFS($A:$A,$A2,$I:$I,"Alert")</f>
        <v>2</v>
      </c>
      <c r="Q7" s="22">
        <f>SUMIFS($F:$F,$A:$A,$A2,$I:$I,"Alert")</f>
        <v>20</v>
      </c>
      <c r="R7" s="20"/>
      <c r="S7" s="59"/>
      <c r="T7" s="53"/>
      <c r="U7" s="53"/>
      <c r="V7" s="53"/>
      <c r="W7" s="60"/>
      <c r="X7" s="20"/>
    </row>
    <row r="8" spans="1:24" x14ac:dyDescent="0.2">
      <c r="A8" s="21">
        <v>123</v>
      </c>
      <c r="B8" s="22" t="s">
        <v>159</v>
      </c>
      <c r="C8" s="23">
        <v>43969</v>
      </c>
      <c r="D8" s="22" t="s">
        <v>157</v>
      </c>
      <c r="E8" s="23">
        <v>43835</v>
      </c>
      <c r="F8" s="24">
        <v>20</v>
      </c>
      <c r="G8" s="22">
        <v>222226</v>
      </c>
      <c r="H8" s="22">
        <v>2000481</v>
      </c>
      <c r="I8" s="25" t="s">
        <v>158</v>
      </c>
      <c r="J8" s="19"/>
      <c r="K8" s="20"/>
      <c r="L8" s="27">
        <v>112</v>
      </c>
      <c r="M8" s="27" t="s">
        <v>156</v>
      </c>
      <c r="N8" s="22">
        <f t="shared" ref="N8:N13" si="0">COUNTIFS(A:A,A3,I:I,"Chargeback")</f>
        <v>3</v>
      </c>
      <c r="O8" s="22">
        <f t="shared" ref="O8:O13" si="1">SUMIFS($F:$F,$A:$A,$A3,$I:$I,"Chargeback")</f>
        <v>30</v>
      </c>
      <c r="P8" s="22">
        <f t="shared" ref="P8:P13" si="2">COUNTIFS($A:$A,$A3,$I:$I,"Alert")</f>
        <v>2</v>
      </c>
      <c r="Q8" s="22">
        <f t="shared" ref="Q8:Q13" si="3">SUMIFS($F:$F,$A:$A,$A3,$I:$I,"Alert")</f>
        <v>20</v>
      </c>
      <c r="R8" s="20"/>
      <c r="S8" s="59"/>
      <c r="T8" s="53"/>
      <c r="U8" s="53"/>
      <c r="V8" s="53"/>
      <c r="W8" s="60"/>
      <c r="X8" s="20"/>
    </row>
    <row r="9" spans="1:24" x14ac:dyDescent="0.2">
      <c r="A9" s="21">
        <v>2589</v>
      </c>
      <c r="B9" s="22" t="s">
        <v>164</v>
      </c>
      <c r="C9" s="23">
        <v>43955</v>
      </c>
      <c r="D9" s="22" t="s">
        <v>157</v>
      </c>
      <c r="E9" s="23">
        <v>43951</v>
      </c>
      <c r="F9" s="24">
        <v>15</v>
      </c>
      <c r="G9" s="22">
        <v>333339</v>
      </c>
      <c r="H9" s="22">
        <v>2000473</v>
      </c>
      <c r="I9" s="25" t="s">
        <v>158</v>
      </c>
      <c r="J9" s="19"/>
      <c r="K9" s="20"/>
      <c r="L9" s="27">
        <v>123</v>
      </c>
      <c r="M9" s="27" t="s">
        <v>159</v>
      </c>
      <c r="N9" s="22">
        <f t="shared" si="0"/>
        <v>3</v>
      </c>
      <c r="O9" s="22">
        <f t="shared" si="1"/>
        <v>30</v>
      </c>
      <c r="P9" s="22">
        <f t="shared" si="2"/>
        <v>2</v>
      </c>
      <c r="Q9" s="22">
        <f t="shared" si="3"/>
        <v>20</v>
      </c>
      <c r="R9" s="20"/>
      <c r="S9" s="59"/>
      <c r="T9" s="53"/>
      <c r="U9" s="53"/>
      <c r="V9" s="53"/>
      <c r="W9" s="60"/>
      <c r="X9" s="20"/>
    </row>
    <row r="10" spans="1:24" x14ac:dyDescent="0.2">
      <c r="A10" s="21">
        <v>2589</v>
      </c>
      <c r="B10" s="22" t="s">
        <v>164</v>
      </c>
      <c r="C10" s="23">
        <v>43959</v>
      </c>
      <c r="D10" s="22" t="s">
        <v>157</v>
      </c>
      <c r="E10" s="23">
        <v>43951</v>
      </c>
      <c r="F10" s="24">
        <v>15</v>
      </c>
      <c r="G10" s="22">
        <v>333334</v>
      </c>
      <c r="H10" s="22">
        <v>2000468</v>
      </c>
      <c r="I10" s="25" t="s">
        <v>158</v>
      </c>
      <c r="J10" s="19"/>
      <c r="K10" s="20"/>
      <c r="L10" s="27">
        <v>125</v>
      </c>
      <c r="M10" s="27" t="s">
        <v>159</v>
      </c>
      <c r="N10" s="22">
        <f t="shared" si="0"/>
        <v>3</v>
      </c>
      <c r="O10" s="22">
        <f t="shared" si="1"/>
        <v>30</v>
      </c>
      <c r="P10" s="22">
        <f t="shared" si="2"/>
        <v>2</v>
      </c>
      <c r="Q10" s="22">
        <f t="shared" si="3"/>
        <v>20</v>
      </c>
      <c r="R10" s="20"/>
      <c r="S10" s="61"/>
      <c r="T10" s="62"/>
      <c r="U10" s="62"/>
      <c r="V10" s="62"/>
      <c r="W10" s="63"/>
      <c r="X10" s="20"/>
    </row>
    <row r="11" spans="1:24" x14ac:dyDescent="0.2">
      <c r="A11" s="21">
        <v>2589</v>
      </c>
      <c r="B11" s="22" t="s">
        <v>164</v>
      </c>
      <c r="C11" s="23">
        <v>43981</v>
      </c>
      <c r="D11" s="22" t="s">
        <v>157</v>
      </c>
      <c r="E11" s="23">
        <v>43865</v>
      </c>
      <c r="F11" s="24">
        <v>15</v>
      </c>
      <c r="G11" s="22">
        <v>333337</v>
      </c>
      <c r="H11" s="22">
        <v>2000471</v>
      </c>
      <c r="I11" s="25" t="s">
        <v>158</v>
      </c>
      <c r="J11" s="19"/>
      <c r="K11" s="20"/>
      <c r="L11" s="27">
        <v>2589</v>
      </c>
      <c r="M11" s="27" t="s">
        <v>164</v>
      </c>
      <c r="N11" s="22">
        <f t="shared" si="0"/>
        <v>4</v>
      </c>
      <c r="O11" s="22">
        <f t="shared" si="1"/>
        <v>80</v>
      </c>
      <c r="P11" s="22">
        <f t="shared" si="2"/>
        <v>3</v>
      </c>
      <c r="Q11" s="22">
        <f t="shared" si="3"/>
        <v>60</v>
      </c>
      <c r="R11" s="20"/>
      <c r="S11" s="20"/>
      <c r="T11" s="20"/>
      <c r="U11" s="20"/>
      <c r="V11" s="20"/>
      <c r="W11" s="20"/>
      <c r="X11" s="20"/>
    </row>
    <row r="12" spans="1:24" x14ac:dyDescent="0.2">
      <c r="A12" s="21">
        <v>2670</v>
      </c>
      <c r="B12" s="22" t="s">
        <v>164</v>
      </c>
      <c r="C12" s="23">
        <v>43966</v>
      </c>
      <c r="D12" s="22" t="s">
        <v>157</v>
      </c>
      <c r="E12" s="23">
        <v>43915</v>
      </c>
      <c r="F12" s="24">
        <v>15</v>
      </c>
      <c r="G12" s="22">
        <v>333340</v>
      </c>
      <c r="H12" s="22">
        <v>2000474</v>
      </c>
      <c r="I12" s="25" t="s">
        <v>158</v>
      </c>
      <c r="J12" s="19"/>
      <c r="K12" s="20"/>
      <c r="L12" s="27">
        <v>2670</v>
      </c>
      <c r="M12" s="27" t="s">
        <v>164</v>
      </c>
      <c r="N12" s="22">
        <f t="shared" si="0"/>
        <v>4</v>
      </c>
      <c r="O12" s="22">
        <f t="shared" si="1"/>
        <v>80</v>
      </c>
      <c r="P12" s="22">
        <f t="shared" si="2"/>
        <v>3</v>
      </c>
      <c r="Q12" s="22">
        <f t="shared" si="3"/>
        <v>60</v>
      </c>
      <c r="R12" s="20"/>
      <c r="S12" s="20"/>
      <c r="T12" s="20"/>
      <c r="U12" s="20"/>
      <c r="V12" s="20"/>
      <c r="W12" s="20"/>
      <c r="X12" s="20"/>
    </row>
    <row r="13" spans="1:24" x14ac:dyDescent="0.2">
      <c r="A13" s="21">
        <v>2670</v>
      </c>
      <c r="B13" s="22" t="s">
        <v>164</v>
      </c>
      <c r="C13" s="23">
        <v>43966</v>
      </c>
      <c r="D13" s="22" t="s">
        <v>157</v>
      </c>
      <c r="E13" s="23">
        <v>43835</v>
      </c>
      <c r="F13" s="24">
        <v>15</v>
      </c>
      <c r="G13" s="22">
        <v>333342</v>
      </c>
      <c r="H13" s="22">
        <v>2000476</v>
      </c>
      <c r="I13" s="25" t="s">
        <v>158</v>
      </c>
      <c r="J13" s="19"/>
      <c r="K13" s="20"/>
      <c r="L13" s="27">
        <v>5987</v>
      </c>
      <c r="M13" s="27" t="s">
        <v>165</v>
      </c>
      <c r="N13" s="22">
        <f t="shared" si="0"/>
        <v>4</v>
      </c>
      <c r="O13" s="22">
        <f t="shared" si="1"/>
        <v>80</v>
      </c>
      <c r="P13" s="22">
        <f t="shared" si="2"/>
        <v>3</v>
      </c>
      <c r="Q13" s="22">
        <f t="shared" si="3"/>
        <v>60</v>
      </c>
      <c r="R13" s="20"/>
      <c r="S13" s="20"/>
      <c r="T13" s="20"/>
      <c r="U13" s="20"/>
      <c r="V13" s="20"/>
      <c r="W13" s="20"/>
      <c r="X13" s="20"/>
    </row>
    <row r="14" spans="1:24" x14ac:dyDescent="0.2">
      <c r="A14" s="21">
        <v>5987</v>
      </c>
      <c r="B14" s="22" t="s">
        <v>165</v>
      </c>
      <c r="C14" s="23">
        <v>43953</v>
      </c>
      <c r="D14" s="22" t="s">
        <v>157</v>
      </c>
      <c r="E14" s="23">
        <v>43938</v>
      </c>
      <c r="F14" s="24">
        <v>25</v>
      </c>
      <c r="G14" s="22">
        <v>999919</v>
      </c>
      <c r="H14" s="22">
        <v>2000487</v>
      </c>
      <c r="I14" s="25" t="s">
        <v>158</v>
      </c>
      <c r="J14" s="19"/>
      <c r="K14" s="20"/>
      <c r="L14" s="54" t="s">
        <v>166</v>
      </c>
      <c r="M14" s="55"/>
      <c r="N14" s="26"/>
      <c r="O14" s="28"/>
      <c r="P14" s="28"/>
      <c r="Q14" s="28"/>
      <c r="R14" s="20"/>
      <c r="S14" s="20"/>
      <c r="T14" s="20"/>
      <c r="U14" s="20"/>
      <c r="V14" s="20"/>
      <c r="W14" s="20"/>
      <c r="X14" s="20"/>
    </row>
    <row r="15" spans="1:24" x14ac:dyDescent="0.2">
      <c r="A15" s="21">
        <v>5987</v>
      </c>
      <c r="B15" s="22" t="s">
        <v>165</v>
      </c>
      <c r="C15" s="23">
        <v>43955</v>
      </c>
      <c r="D15" s="22" t="s">
        <v>157</v>
      </c>
      <c r="E15" s="23">
        <v>43929</v>
      </c>
      <c r="F15" s="24">
        <v>25</v>
      </c>
      <c r="G15" s="22">
        <v>999920</v>
      </c>
      <c r="H15" s="22">
        <v>2000488</v>
      </c>
      <c r="I15" s="25" t="s">
        <v>158</v>
      </c>
      <c r="J15" s="1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x14ac:dyDescent="0.2">
      <c r="A16" s="21">
        <v>5987</v>
      </c>
      <c r="B16" s="22" t="s">
        <v>165</v>
      </c>
      <c r="C16" s="23">
        <v>43956</v>
      </c>
      <c r="D16" s="22" t="s">
        <v>157</v>
      </c>
      <c r="E16" s="23">
        <v>43915</v>
      </c>
      <c r="F16" s="24">
        <v>25</v>
      </c>
      <c r="G16" s="22">
        <v>999935</v>
      </c>
      <c r="H16" s="22">
        <v>2000503</v>
      </c>
      <c r="I16" s="25" t="s">
        <v>158</v>
      </c>
      <c r="J16" s="1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x14ac:dyDescent="0.2">
      <c r="A17" s="21">
        <v>5987</v>
      </c>
      <c r="B17" s="22" t="s">
        <v>165</v>
      </c>
      <c r="C17" s="23">
        <v>43957</v>
      </c>
      <c r="D17" s="22" t="s">
        <v>157</v>
      </c>
      <c r="E17" s="23">
        <v>43865</v>
      </c>
      <c r="F17" s="24">
        <v>25</v>
      </c>
      <c r="G17" s="22">
        <v>999922</v>
      </c>
      <c r="H17" s="22">
        <v>2000490</v>
      </c>
      <c r="I17" s="25" t="s">
        <v>158</v>
      </c>
      <c r="J17" s="19"/>
      <c r="K17" s="20"/>
      <c r="L17" s="20"/>
      <c r="M17" s="20"/>
      <c r="N17" s="20"/>
      <c r="O17" s="20"/>
      <c r="P17" s="20"/>
      <c r="Q17" s="20"/>
      <c r="R17" s="20"/>
      <c r="S17" s="29"/>
      <c r="T17" s="29"/>
      <c r="U17" s="29"/>
      <c r="V17" s="29"/>
      <c r="W17" s="29"/>
      <c r="X17" s="20"/>
    </row>
    <row r="18" spans="1:24" x14ac:dyDescent="0.2">
      <c r="A18" s="21">
        <v>5987</v>
      </c>
      <c r="B18" s="22" t="s">
        <v>165</v>
      </c>
      <c r="C18" s="23">
        <v>43957</v>
      </c>
      <c r="D18" s="22" t="s">
        <v>157</v>
      </c>
      <c r="E18" s="23">
        <v>43929</v>
      </c>
      <c r="F18" s="24">
        <v>25</v>
      </c>
      <c r="G18" s="22">
        <v>999938</v>
      </c>
      <c r="H18" s="22">
        <v>2000506</v>
      </c>
      <c r="I18" s="25" t="s">
        <v>158</v>
      </c>
      <c r="J18" s="19"/>
      <c r="K18" s="20"/>
      <c r="L18" s="54" t="s">
        <v>148</v>
      </c>
      <c r="M18" s="55"/>
      <c r="N18" s="26" t="s">
        <v>160</v>
      </c>
      <c r="O18" s="26" t="s">
        <v>161</v>
      </c>
      <c r="P18" s="26" t="s">
        <v>162</v>
      </c>
      <c r="Q18" s="26" t="s">
        <v>163</v>
      </c>
      <c r="R18" s="20"/>
      <c r="S18" s="56" t="s">
        <v>167</v>
      </c>
      <c r="T18" s="57"/>
      <c r="U18" s="57"/>
      <c r="V18" s="57"/>
      <c r="W18" s="58"/>
      <c r="X18" s="20"/>
    </row>
    <row r="19" spans="1:24" x14ac:dyDescent="0.2">
      <c r="A19" s="21">
        <v>5987</v>
      </c>
      <c r="B19" s="22" t="s">
        <v>165</v>
      </c>
      <c r="C19" s="23">
        <v>43957</v>
      </c>
      <c r="D19" s="22" t="s">
        <v>157</v>
      </c>
      <c r="E19" s="23">
        <v>43941</v>
      </c>
      <c r="F19" s="24">
        <v>25</v>
      </c>
      <c r="G19" s="22">
        <v>999939</v>
      </c>
      <c r="H19" s="22">
        <v>2000507</v>
      </c>
      <c r="I19" s="25" t="s">
        <v>158</v>
      </c>
      <c r="J19" s="19"/>
      <c r="K19" s="20"/>
      <c r="L19" s="52" t="s">
        <v>156</v>
      </c>
      <c r="M19" s="53"/>
      <c r="N19" s="22">
        <f>COUNTIFS($B:$B,$L19,$I:$I,"Chargeback")</f>
        <v>6</v>
      </c>
      <c r="O19" s="22">
        <f>SUMIFS($F:$F,$B:$B,$L19,$I:$I,"Chargeback")</f>
        <v>60</v>
      </c>
      <c r="P19" s="22">
        <f>COUNTIFS($B:$B,$L19,$I:$I,"Alert")</f>
        <v>4</v>
      </c>
      <c r="Q19" s="22">
        <f>SUMIFS($F:$F,$B:$B,$L19,$I:$I,"Alert")</f>
        <v>40</v>
      </c>
      <c r="R19" s="20"/>
      <c r="S19" s="59"/>
      <c r="T19" s="53"/>
      <c r="U19" s="53"/>
      <c r="V19" s="53"/>
      <c r="W19" s="60"/>
      <c r="X19" s="20"/>
    </row>
    <row r="20" spans="1:24" x14ac:dyDescent="0.2">
      <c r="A20" s="21">
        <v>5987</v>
      </c>
      <c r="B20" s="22" t="s">
        <v>165</v>
      </c>
      <c r="C20" s="23">
        <v>43961</v>
      </c>
      <c r="D20" s="22" t="s">
        <v>157</v>
      </c>
      <c r="E20" s="23">
        <v>43932</v>
      </c>
      <c r="F20" s="24">
        <v>25</v>
      </c>
      <c r="G20" s="22">
        <v>999928</v>
      </c>
      <c r="H20" s="22">
        <v>2000496</v>
      </c>
      <c r="I20" s="25" t="s">
        <v>158</v>
      </c>
      <c r="J20" s="19"/>
      <c r="K20" s="20"/>
      <c r="L20" s="52" t="s">
        <v>159</v>
      </c>
      <c r="M20" s="53"/>
      <c r="N20" s="22">
        <f t="shared" ref="N20:N22" si="4">COUNTIFS($B:$B,$L20,$I:$I,"Chargeback")</f>
        <v>7</v>
      </c>
      <c r="O20" s="22">
        <f t="shared" ref="O20:O22" si="5">SUMIFS($F:$F,$B:$B,$L20,$I:$I,"Chargeback")</f>
        <v>140</v>
      </c>
      <c r="P20" s="22">
        <f t="shared" ref="P20:P22" si="6">COUNTIFS($B:$B,$L20,$I:$I,"Alert")</f>
        <v>3</v>
      </c>
      <c r="Q20" s="22">
        <f t="shared" ref="Q20:Q22" si="7">SUMIFS($F:$F,$B:$B,$L20,$I:$I,"Alert")</f>
        <v>60</v>
      </c>
      <c r="R20" s="20"/>
      <c r="S20" s="59"/>
      <c r="T20" s="53"/>
      <c r="U20" s="53"/>
      <c r="V20" s="53"/>
      <c r="W20" s="60"/>
      <c r="X20" s="20"/>
    </row>
    <row r="21" spans="1:24" x14ac:dyDescent="0.2">
      <c r="A21" s="21">
        <v>5987</v>
      </c>
      <c r="B21" s="22" t="s">
        <v>165</v>
      </c>
      <c r="C21" s="23">
        <v>43963</v>
      </c>
      <c r="D21" s="22" t="s">
        <v>157</v>
      </c>
      <c r="E21" s="23">
        <v>43927</v>
      </c>
      <c r="F21" s="24">
        <v>25</v>
      </c>
      <c r="G21" s="22">
        <v>999923</v>
      </c>
      <c r="H21" s="22">
        <v>2000491</v>
      </c>
      <c r="I21" s="25" t="s">
        <v>158</v>
      </c>
      <c r="J21" s="19"/>
      <c r="K21" s="20"/>
      <c r="L21" s="52" t="s">
        <v>164</v>
      </c>
      <c r="M21" s="53"/>
      <c r="N21" s="22">
        <f t="shared" si="4"/>
        <v>5</v>
      </c>
      <c r="O21" s="22">
        <f t="shared" si="5"/>
        <v>75</v>
      </c>
      <c r="P21" s="22">
        <f t="shared" si="6"/>
        <v>5</v>
      </c>
      <c r="Q21" s="22">
        <f t="shared" si="7"/>
        <v>75</v>
      </c>
      <c r="R21" s="20"/>
      <c r="S21" s="59"/>
      <c r="T21" s="53"/>
      <c r="U21" s="53"/>
      <c r="V21" s="53"/>
      <c r="W21" s="60"/>
      <c r="X21" s="20"/>
    </row>
    <row r="22" spans="1:24" x14ac:dyDescent="0.2">
      <c r="A22" s="21">
        <v>5987</v>
      </c>
      <c r="B22" s="22" t="s">
        <v>165</v>
      </c>
      <c r="C22" s="23">
        <v>43964</v>
      </c>
      <c r="D22" s="22" t="s">
        <v>157</v>
      </c>
      <c r="E22" s="23">
        <v>43927</v>
      </c>
      <c r="F22" s="24">
        <v>25</v>
      </c>
      <c r="G22" s="22">
        <v>999940</v>
      </c>
      <c r="H22" s="22">
        <v>2000508</v>
      </c>
      <c r="I22" s="25" t="s">
        <v>158</v>
      </c>
      <c r="J22" s="19"/>
      <c r="K22" s="20"/>
      <c r="L22" s="52" t="s">
        <v>165</v>
      </c>
      <c r="M22" s="53"/>
      <c r="N22" s="22">
        <f t="shared" si="4"/>
        <v>8</v>
      </c>
      <c r="O22" s="22">
        <f t="shared" si="5"/>
        <v>200</v>
      </c>
      <c r="P22" s="22">
        <f t="shared" si="6"/>
        <v>14</v>
      </c>
      <c r="Q22" s="22">
        <f t="shared" si="7"/>
        <v>350</v>
      </c>
      <c r="R22" s="20"/>
      <c r="S22" s="61"/>
      <c r="T22" s="62"/>
      <c r="U22" s="62"/>
      <c r="V22" s="62"/>
      <c r="W22" s="63"/>
      <c r="X22" s="20"/>
    </row>
    <row r="23" spans="1:24" x14ac:dyDescent="0.2">
      <c r="A23" s="21">
        <v>5987</v>
      </c>
      <c r="B23" s="22" t="s">
        <v>165</v>
      </c>
      <c r="C23" s="23">
        <v>43965</v>
      </c>
      <c r="D23" s="22" t="s">
        <v>157</v>
      </c>
      <c r="E23" s="23">
        <v>43915</v>
      </c>
      <c r="F23" s="24">
        <v>25</v>
      </c>
      <c r="G23" s="22">
        <v>999925</v>
      </c>
      <c r="H23" s="22">
        <v>2000493</v>
      </c>
      <c r="I23" s="25" t="s">
        <v>158</v>
      </c>
      <c r="J23" s="19"/>
      <c r="K23" s="20"/>
      <c r="L23" s="54" t="s">
        <v>166</v>
      </c>
      <c r="M23" s="55"/>
      <c r="N23" s="22">
        <f>SUM($N19:$N22)</f>
        <v>26</v>
      </c>
      <c r="O23" s="22">
        <f>SUM(O19:O22)</f>
        <v>475</v>
      </c>
      <c r="P23" s="22">
        <f>SUM(P19:P22)</f>
        <v>26</v>
      </c>
      <c r="Q23" s="22">
        <f>SUM(Q19:Q22)</f>
        <v>525</v>
      </c>
      <c r="R23" s="20"/>
      <c r="S23" s="30"/>
      <c r="T23" s="30"/>
      <c r="U23" s="30"/>
      <c r="V23" s="30"/>
      <c r="W23" s="30"/>
      <c r="X23" s="20"/>
    </row>
    <row r="24" spans="1:24" x14ac:dyDescent="0.2">
      <c r="A24" s="21">
        <v>5987</v>
      </c>
      <c r="B24" s="22" t="s">
        <v>165</v>
      </c>
      <c r="C24" s="23">
        <v>43967</v>
      </c>
      <c r="D24" s="22" t="s">
        <v>157</v>
      </c>
      <c r="E24" s="23">
        <v>43835</v>
      </c>
      <c r="F24" s="24">
        <v>25</v>
      </c>
      <c r="G24" s="22">
        <v>999927</v>
      </c>
      <c r="H24" s="22">
        <v>2000495</v>
      </c>
      <c r="I24" s="25" t="s">
        <v>158</v>
      </c>
      <c r="J24" s="19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x14ac:dyDescent="0.2">
      <c r="A25" s="21">
        <v>5987</v>
      </c>
      <c r="B25" s="22" t="s">
        <v>165</v>
      </c>
      <c r="C25" s="23">
        <v>43971</v>
      </c>
      <c r="D25" s="22" t="s">
        <v>157</v>
      </c>
      <c r="E25" s="23">
        <v>43941</v>
      </c>
      <c r="F25" s="24">
        <v>25</v>
      </c>
      <c r="G25" s="22">
        <v>999934</v>
      </c>
      <c r="H25" s="22">
        <v>2000502</v>
      </c>
      <c r="I25" s="25" t="s">
        <v>158</v>
      </c>
      <c r="J25" s="19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x14ac:dyDescent="0.2">
      <c r="A26" s="21">
        <v>5987</v>
      </c>
      <c r="B26" s="22" t="s">
        <v>165</v>
      </c>
      <c r="C26" s="23">
        <v>43971</v>
      </c>
      <c r="D26" s="22" t="s">
        <v>157</v>
      </c>
      <c r="E26" s="23">
        <v>43932</v>
      </c>
      <c r="F26" s="24">
        <v>25</v>
      </c>
      <c r="G26" s="22">
        <v>999936</v>
      </c>
      <c r="H26" s="22">
        <v>2000504</v>
      </c>
      <c r="I26" s="25" t="s">
        <v>158</v>
      </c>
      <c r="J26" s="19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x14ac:dyDescent="0.2">
      <c r="A27" s="21">
        <v>5987</v>
      </c>
      <c r="B27" s="22" t="s">
        <v>165</v>
      </c>
      <c r="C27" s="23">
        <v>43977</v>
      </c>
      <c r="D27" s="22" t="s">
        <v>157</v>
      </c>
      <c r="E27" s="23">
        <v>43951</v>
      </c>
      <c r="F27" s="24">
        <v>25</v>
      </c>
      <c r="G27" s="22">
        <v>999932</v>
      </c>
      <c r="H27" s="22">
        <v>2000500</v>
      </c>
      <c r="I27" s="25" t="s">
        <v>158</v>
      </c>
      <c r="J27" s="19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x14ac:dyDescent="0.2">
      <c r="A28" s="21">
        <v>111</v>
      </c>
      <c r="B28" s="22" t="s">
        <v>156</v>
      </c>
      <c r="C28" s="23">
        <v>43954</v>
      </c>
      <c r="D28" s="22" t="s">
        <v>168</v>
      </c>
      <c r="E28" s="23">
        <v>43927</v>
      </c>
      <c r="F28" s="24">
        <v>10</v>
      </c>
      <c r="G28" s="22">
        <v>111111</v>
      </c>
      <c r="H28" s="22">
        <v>2000457</v>
      </c>
      <c r="I28" s="25" t="s">
        <v>169</v>
      </c>
      <c r="J28" s="19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x14ac:dyDescent="0.2">
      <c r="A29" s="21">
        <v>111</v>
      </c>
      <c r="B29" s="22" t="s">
        <v>156</v>
      </c>
      <c r="C29" s="23">
        <v>43962</v>
      </c>
      <c r="D29" s="22" t="s">
        <v>168</v>
      </c>
      <c r="E29" s="23">
        <v>43938</v>
      </c>
      <c r="F29" s="24">
        <v>10</v>
      </c>
      <c r="G29" s="22">
        <v>111113</v>
      </c>
      <c r="H29" s="22">
        <v>2000459</v>
      </c>
      <c r="I29" s="25" t="s">
        <v>169</v>
      </c>
      <c r="J29" s="1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x14ac:dyDescent="0.2">
      <c r="A30" s="21">
        <v>111</v>
      </c>
      <c r="B30" s="22" t="s">
        <v>156</v>
      </c>
      <c r="C30" s="23">
        <v>43968</v>
      </c>
      <c r="D30" s="22" t="s">
        <v>168</v>
      </c>
      <c r="E30" s="23">
        <v>43951</v>
      </c>
      <c r="F30" s="24">
        <v>10</v>
      </c>
      <c r="G30" s="22">
        <v>111114</v>
      </c>
      <c r="H30" s="22">
        <v>2000460</v>
      </c>
      <c r="I30" s="25" t="s">
        <v>169</v>
      </c>
      <c r="J30" s="1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x14ac:dyDescent="0.2">
      <c r="A31" s="21">
        <v>112</v>
      </c>
      <c r="B31" s="22" t="s">
        <v>156</v>
      </c>
      <c r="C31" s="23">
        <v>43972</v>
      </c>
      <c r="D31" s="22" t="s">
        <v>168</v>
      </c>
      <c r="E31" s="23">
        <v>43938</v>
      </c>
      <c r="F31" s="24">
        <v>10</v>
      </c>
      <c r="G31" s="22">
        <v>111119</v>
      </c>
      <c r="H31" s="22">
        <v>2000465</v>
      </c>
      <c r="I31" s="25" t="s">
        <v>169</v>
      </c>
      <c r="J31" s="19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x14ac:dyDescent="0.2">
      <c r="A32" s="21">
        <v>112</v>
      </c>
      <c r="B32" s="22" t="s">
        <v>156</v>
      </c>
      <c r="C32" s="23">
        <v>43976</v>
      </c>
      <c r="D32" s="22" t="s">
        <v>168</v>
      </c>
      <c r="E32" s="23">
        <v>43835</v>
      </c>
      <c r="F32" s="24">
        <v>10</v>
      </c>
      <c r="G32" s="22">
        <v>111118</v>
      </c>
      <c r="H32" s="22">
        <v>2000464</v>
      </c>
      <c r="I32" s="25" t="s">
        <v>169</v>
      </c>
      <c r="J32" s="19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x14ac:dyDescent="0.2">
      <c r="A33" s="21">
        <v>112</v>
      </c>
      <c r="B33" s="22" t="s">
        <v>156</v>
      </c>
      <c r="C33" s="23">
        <v>43981</v>
      </c>
      <c r="D33" s="22" t="s">
        <v>168</v>
      </c>
      <c r="E33" s="23">
        <v>43938</v>
      </c>
      <c r="F33" s="24">
        <v>10</v>
      </c>
      <c r="G33" s="22">
        <v>111120</v>
      </c>
      <c r="H33" s="22">
        <v>2000466</v>
      </c>
      <c r="I33" s="25" t="s">
        <v>169</v>
      </c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x14ac:dyDescent="0.2">
      <c r="A34" s="21">
        <v>123</v>
      </c>
      <c r="B34" s="22" t="s">
        <v>159</v>
      </c>
      <c r="C34" s="23">
        <v>43952</v>
      </c>
      <c r="D34" s="22" t="s">
        <v>168</v>
      </c>
      <c r="E34" s="23">
        <v>43941</v>
      </c>
      <c r="F34" s="24">
        <v>20</v>
      </c>
      <c r="G34" s="22">
        <v>222222</v>
      </c>
      <c r="H34" s="22">
        <v>2000477</v>
      </c>
      <c r="I34" s="25" t="s">
        <v>169</v>
      </c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x14ac:dyDescent="0.2">
      <c r="A35" s="21">
        <v>123</v>
      </c>
      <c r="B35" s="22" t="s">
        <v>159</v>
      </c>
      <c r="C35" s="23">
        <v>43954</v>
      </c>
      <c r="D35" s="22" t="s">
        <v>168</v>
      </c>
      <c r="E35" s="23">
        <v>43941</v>
      </c>
      <c r="F35" s="24">
        <v>20</v>
      </c>
      <c r="G35" s="22">
        <v>222227</v>
      </c>
      <c r="H35" s="22">
        <v>2000482</v>
      </c>
      <c r="I35" s="25" t="s">
        <v>169</v>
      </c>
      <c r="J35" s="1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x14ac:dyDescent="0.2">
      <c r="A36" s="21">
        <v>123</v>
      </c>
      <c r="B36" s="22" t="s">
        <v>159</v>
      </c>
      <c r="C36" s="23">
        <v>43957</v>
      </c>
      <c r="D36" s="22" t="s">
        <v>168</v>
      </c>
      <c r="E36" s="23">
        <v>43865</v>
      </c>
      <c r="F36" s="24">
        <v>20</v>
      </c>
      <c r="G36" s="22">
        <v>222225</v>
      </c>
      <c r="H36" s="22">
        <v>2000480</v>
      </c>
      <c r="I36" s="25" t="s">
        <v>169</v>
      </c>
      <c r="J36" s="19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x14ac:dyDescent="0.2">
      <c r="A37" s="21">
        <v>123</v>
      </c>
      <c r="B37" s="22" t="s">
        <v>159</v>
      </c>
      <c r="C37" s="23">
        <v>43960</v>
      </c>
      <c r="D37" s="22" t="s">
        <v>168</v>
      </c>
      <c r="E37" s="23">
        <v>43932</v>
      </c>
      <c r="F37" s="24">
        <v>20</v>
      </c>
      <c r="G37" s="22">
        <v>222223</v>
      </c>
      <c r="H37" s="22">
        <v>2000478</v>
      </c>
      <c r="I37" s="25" t="s">
        <v>169</v>
      </c>
      <c r="J37" s="19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x14ac:dyDescent="0.2">
      <c r="A38" s="21">
        <v>125</v>
      </c>
      <c r="B38" s="22" t="s">
        <v>159</v>
      </c>
      <c r="C38" s="23">
        <v>43956</v>
      </c>
      <c r="D38" s="22" t="s">
        <v>168</v>
      </c>
      <c r="E38" s="23">
        <v>43932</v>
      </c>
      <c r="F38" s="24">
        <v>20</v>
      </c>
      <c r="G38" s="22">
        <v>222230</v>
      </c>
      <c r="H38" s="22">
        <v>2000485</v>
      </c>
      <c r="I38" s="25" t="s">
        <v>169</v>
      </c>
      <c r="J38" s="19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x14ac:dyDescent="0.2">
      <c r="A39" s="21">
        <v>125</v>
      </c>
      <c r="B39" s="22" t="s">
        <v>159</v>
      </c>
      <c r="C39" s="23">
        <v>43957</v>
      </c>
      <c r="D39" s="22" t="s">
        <v>168</v>
      </c>
      <c r="E39" s="23">
        <v>43915</v>
      </c>
      <c r="F39" s="24">
        <v>20</v>
      </c>
      <c r="G39" s="22">
        <v>222229</v>
      </c>
      <c r="H39" s="22">
        <v>2000484</v>
      </c>
      <c r="I39" s="25" t="s">
        <v>169</v>
      </c>
      <c r="J39" s="19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x14ac:dyDescent="0.2">
      <c r="A40" s="21">
        <v>125</v>
      </c>
      <c r="B40" s="22" t="s">
        <v>159</v>
      </c>
      <c r="C40" s="23">
        <v>43965</v>
      </c>
      <c r="D40" s="22" t="s">
        <v>168</v>
      </c>
      <c r="E40" s="23">
        <v>43929</v>
      </c>
      <c r="F40" s="24">
        <v>20</v>
      </c>
      <c r="G40" s="22">
        <v>222231</v>
      </c>
      <c r="H40" s="22">
        <v>2000486</v>
      </c>
      <c r="I40" s="25" t="s">
        <v>169</v>
      </c>
      <c r="J40" s="1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x14ac:dyDescent="0.2">
      <c r="A41" s="21">
        <v>2589</v>
      </c>
      <c r="B41" s="22" t="s">
        <v>164</v>
      </c>
      <c r="C41" s="23">
        <v>43954</v>
      </c>
      <c r="D41" s="22" t="s">
        <v>168</v>
      </c>
      <c r="E41" s="23">
        <v>43835</v>
      </c>
      <c r="F41" s="24">
        <v>15</v>
      </c>
      <c r="G41" s="22">
        <v>333338</v>
      </c>
      <c r="H41" s="22">
        <v>2000472</v>
      </c>
      <c r="I41" s="25" t="s">
        <v>169</v>
      </c>
      <c r="J41" s="19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x14ac:dyDescent="0.2">
      <c r="A42" s="21">
        <v>2589</v>
      </c>
      <c r="B42" s="22" t="s">
        <v>164</v>
      </c>
      <c r="C42" s="23">
        <v>43955</v>
      </c>
      <c r="D42" s="22" t="s">
        <v>168</v>
      </c>
      <c r="E42" s="23">
        <v>43929</v>
      </c>
      <c r="F42" s="24">
        <v>15</v>
      </c>
      <c r="G42" s="22">
        <v>333335</v>
      </c>
      <c r="H42" s="22">
        <v>2000469</v>
      </c>
      <c r="I42" s="25" t="s">
        <v>169</v>
      </c>
      <c r="J42" s="19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 x14ac:dyDescent="0.2">
      <c r="A43" s="21">
        <v>2589</v>
      </c>
      <c r="B43" s="22" t="s">
        <v>164</v>
      </c>
      <c r="C43" s="23">
        <v>43958</v>
      </c>
      <c r="D43" s="22" t="s">
        <v>168</v>
      </c>
      <c r="E43" s="23">
        <v>43835</v>
      </c>
      <c r="F43" s="24">
        <v>15</v>
      </c>
      <c r="G43" s="22">
        <v>333333</v>
      </c>
      <c r="H43" s="22">
        <v>2000467</v>
      </c>
      <c r="I43" s="25" t="s">
        <v>169</v>
      </c>
      <c r="J43" s="1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x14ac:dyDescent="0.2">
      <c r="A44" s="21">
        <v>2589</v>
      </c>
      <c r="B44" s="22" t="s">
        <v>164</v>
      </c>
      <c r="C44" s="23">
        <v>43970</v>
      </c>
      <c r="D44" s="22" t="s">
        <v>168</v>
      </c>
      <c r="E44" s="23">
        <v>43951</v>
      </c>
      <c r="F44" s="24">
        <v>15</v>
      </c>
      <c r="G44" s="22">
        <v>333336</v>
      </c>
      <c r="H44" s="22">
        <v>2000470</v>
      </c>
      <c r="I44" s="25" t="s">
        <v>169</v>
      </c>
      <c r="J44" s="1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x14ac:dyDescent="0.2">
      <c r="A45" s="21">
        <v>2670</v>
      </c>
      <c r="B45" s="22" t="s">
        <v>164</v>
      </c>
      <c r="C45" s="23">
        <v>43967</v>
      </c>
      <c r="D45" s="22" t="s">
        <v>168</v>
      </c>
      <c r="E45" s="23">
        <v>43865</v>
      </c>
      <c r="F45" s="24">
        <v>15</v>
      </c>
      <c r="G45" s="22">
        <v>333341</v>
      </c>
      <c r="H45" s="22">
        <v>2000475</v>
      </c>
      <c r="I45" s="25" t="s">
        <v>169</v>
      </c>
      <c r="J45" s="1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x14ac:dyDescent="0.2">
      <c r="A46" s="21">
        <v>5987</v>
      </c>
      <c r="B46" s="22" t="s">
        <v>165</v>
      </c>
      <c r="C46" s="23">
        <v>43956</v>
      </c>
      <c r="D46" s="22" t="s">
        <v>168</v>
      </c>
      <c r="E46" s="23">
        <v>43915</v>
      </c>
      <c r="F46" s="24">
        <v>25</v>
      </c>
      <c r="G46" s="22">
        <v>999921</v>
      </c>
      <c r="H46" s="22">
        <v>2000489</v>
      </c>
      <c r="I46" s="25" t="s">
        <v>169</v>
      </c>
      <c r="J46" s="19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24" x14ac:dyDescent="0.2">
      <c r="A47" s="21">
        <v>5987</v>
      </c>
      <c r="B47" s="22" t="s">
        <v>165</v>
      </c>
      <c r="C47" s="23">
        <v>43956</v>
      </c>
      <c r="D47" s="22" t="s">
        <v>168</v>
      </c>
      <c r="E47" s="23">
        <v>43927</v>
      </c>
      <c r="F47" s="24">
        <v>25</v>
      </c>
      <c r="G47" s="22">
        <v>999937</v>
      </c>
      <c r="H47" s="22">
        <v>2000505</v>
      </c>
      <c r="I47" s="25" t="s">
        <v>169</v>
      </c>
      <c r="J47" s="19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x14ac:dyDescent="0.2">
      <c r="A48" s="21">
        <v>5987</v>
      </c>
      <c r="B48" s="22" t="s">
        <v>165</v>
      </c>
      <c r="C48" s="23">
        <v>43962</v>
      </c>
      <c r="D48" s="22" t="s">
        <v>168</v>
      </c>
      <c r="E48" s="23">
        <v>43941</v>
      </c>
      <c r="F48" s="24">
        <v>25</v>
      </c>
      <c r="G48" s="22">
        <v>999929</v>
      </c>
      <c r="H48" s="22">
        <v>2000497</v>
      </c>
      <c r="I48" s="25" t="s">
        <v>169</v>
      </c>
      <c r="J48" s="19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x14ac:dyDescent="0.2">
      <c r="A49" s="21">
        <v>5987</v>
      </c>
      <c r="B49" s="22" t="s">
        <v>165</v>
      </c>
      <c r="C49" s="23">
        <v>43964</v>
      </c>
      <c r="D49" s="22" t="s">
        <v>168</v>
      </c>
      <c r="E49" s="23">
        <v>43929</v>
      </c>
      <c r="F49" s="24">
        <v>25</v>
      </c>
      <c r="G49" s="22">
        <v>999924</v>
      </c>
      <c r="H49" s="22">
        <v>2000492</v>
      </c>
      <c r="I49" s="25" t="s">
        <v>169</v>
      </c>
      <c r="J49" s="19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x14ac:dyDescent="0.2">
      <c r="A50" s="21">
        <v>5987</v>
      </c>
      <c r="B50" s="22" t="s">
        <v>165</v>
      </c>
      <c r="C50" s="23">
        <v>43964</v>
      </c>
      <c r="D50" s="22" t="s">
        <v>168</v>
      </c>
      <c r="E50" s="23">
        <v>43927</v>
      </c>
      <c r="F50" s="24">
        <v>25</v>
      </c>
      <c r="G50" s="22">
        <v>999930</v>
      </c>
      <c r="H50" s="22">
        <v>2000498</v>
      </c>
      <c r="I50" s="25" t="s">
        <v>169</v>
      </c>
      <c r="J50" s="19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x14ac:dyDescent="0.2">
      <c r="A51" s="21">
        <v>5987</v>
      </c>
      <c r="B51" s="22" t="s">
        <v>165</v>
      </c>
      <c r="C51" s="23">
        <v>43966</v>
      </c>
      <c r="D51" s="22" t="s">
        <v>168</v>
      </c>
      <c r="E51" s="23">
        <v>43865</v>
      </c>
      <c r="F51" s="24">
        <v>25</v>
      </c>
      <c r="G51" s="22">
        <v>999926</v>
      </c>
      <c r="H51" s="22">
        <v>2000494</v>
      </c>
      <c r="I51" s="25" t="s">
        <v>169</v>
      </c>
      <c r="J51" s="19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x14ac:dyDescent="0.2">
      <c r="A52" s="21">
        <v>5987</v>
      </c>
      <c r="B52" s="22" t="s">
        <v>165</v>
      </c>
      <c r="C52" s="23">
        <v>43966</v>
      </c>
      <c r="D52" s="22" t="s">
        <v>168</v>
      </c>
      <c r="E52" s="23">
        <v>43915</v>
      </c>
      <c r="F52" s="24">
        <v>25</v>
      </c>
      <c r="G52" s="22">
        <v>999931</v>
      </c>
      <c r="H52" s="22">
        <v>2000499</v>
      </c>
      <c r="I52" s="25" t="s">
        <v>169</v>
      </c>
      <c r="J52" s="19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x14ac:dyDescent="0.2">
      <c r="A53" s="31">
        <v>5987</v>
      </c>
      <c r="B53" s="32" t="s">
        <v>165</v>
      </c>
      <c r="C53" s="33">
        <v>43978</v>
      </c>
      <c r="D53" s="32" t="s">
        <v>168</v>
      </c>
      <c r="E53" s="33">
        <v>43932</v>
      </c>
      <c r="F53" s="34">
        <v>25</v>
      </c>
      <c r="G53" s="32">
        <v>999933</v>
      </c>
      <c r="H53" s="32">
        <v>2000501</v>
      </c>
      <c r="I53" s="35" t="s">
        <v>169</v>
      </c>
      <c r="J53" s="19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</sheetData>
  <mergeCells count="9">
    <mergeCell ref="L22:M22"/>
    <mergeCell ref="L23:M23"/>
    <mergeCell ref="S6:W10"/>
    <mergeCell ref="L14:M14"/>
    <mergeCell ref="L18:M18"/>
    <mergeCell ref="S18:W22"/>
    <mergeCell ref="L19:M19"/>
    <mergeCell ref="L20:M20"/>
    <mergeCell ref="L21:M2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70"/>
  <sheetViews>
    <sheetView zoomScale="93" workbookViewId="0">
      <selection activeCell="C64" sqref="A1:E70"/>
    </sheetView>
  </sheetViews>
  <sheetFormatPr defaultColWidth="12.5703125" defaultRowHeight="15" customHeight="1" x14ac:dyDescent="0.2"/>
  <cols>
    <col min="1" max="5" width="14.28515625" customWidth="1"/>
    <col min="8" max="8" width="90.5703125" bestFit="1" customWidth="1"/>
  </cols>
  <sheetData>
    <row r="1" spans="1:10" x14ac:dyDescent="0.2">
      <c r="A1" s="36" t="s">
        <v>170</v>
      </c>
      <c r="B1" s="37" t="s">
        <v>171</v>
      </c>
      <c r="C1" s="37" t="s">
        <v>172</v>
      </c>
      <c r="D1" s="38" t="s">
        <v>152</v>
      </c>
      <c r="E1" s="37" t="s">
        <v>173</v>
      </c>
      <c r="F1" s="39"/>
      <c r="G1" s="39"/>
      <c r="H1" s="39"/>
      <c r="I1" s="39"/>
      <c r="J1" s="39"/>
    </row>
    <row r="2" spans="1:10" x14ac:dyDescent="0.2">
      <c r="A2" s="36">
        <v>6433477</v>
      </c>
      <c r="B2" s="40">
        <v>45047</v>
      </c>
      <c r="C2" s="37" t="s">
        <v>174</v>
      </c>
      <c r="D2" s="38">
        <v>34.99</v>
      </c>
      <c r="E2" s="37" t="s">
        <v>175</v>
      </c>
      <c r="F2" s="39"/>
      <c r="G2" s="39"/>
      <c r="H2" s="39"/>
      <c r="I2" s="39"/>
      <c r="J2" s="39"/>
    </row>
    <row r="3" spans="1:10" x14ac:dyDescent="0.2">
      <c r="A3" s="36">
        <v>4119422</v>
      </c>
      <c r="B3" s="40">
        <v>45047</v>
      </c>
      <c r="C3" s="37" t="s">
        <v>176</v>
      </c>
      <c r="D3" s="38">
        <v>31.27</v>
      </c>
      <c r="E3" s="37" t="s">
        <v>177</v>
      </c>
      <c r="F3" s="39"/>
      <c r="G3" s="39"/>
      <c r="H3" s="41" t="s">
        <v>178</v>
      </c>
      <c r="I3" s="39"/>
      <c r="J3" s="39"/>
    </row>
    <row r="4" spans="1:10" x14ac:dyDescent="0.2">
      <c r="A4" s="36">
        <v>1208852</v>
      </c>
      <c r="B4" s="40">
        <v>45047</v>
      </c>
      <c r="C4" s="37" t="s">
        <v>174</v>
      </c>
      <c r="D4" s="38">
        <v>34.99</v>
      </c>
      <c r="E4" s="37" t="s">
        <v>179</v>
      </c>
      <c r="F4" s="39"/>
      <c r="G4" s="39"/>
      <c r="H4" s="39"/>
      <c r="I4" s="42" t="s">
        <v>180</v>
      </c>
      <c r="J4" s="39"/>
    </row>
    <row r="5" spans="1:10" x14ac:dyDescent="0.2">
      <c r="A5" s="36">
        <v>5233849</v>
      </c>
      <c r="B5" s="40">
        <v>45047</v>
      </c>
      <c r="C5" s="37" t="s">
        <v>176</v>
      </c>
      <c r="D5" s="38">
        <v>31.27</v>
      </c>
      <c r="E5" s="37" t="s">
        <v>179</v>
      </c>
      <c r="F5" s="39"/>
      <c r="G5" s="39"/>
      <c r="H5" s="39" t="s">
        <v>181</v>
      </c>
      <c r="I5" s="39">
        <f>COUNTIFS($E:$E,"Vikings")</f>
        <v>14</v>
      </c>
      <c r="J5" s="39"/>
    </row>
    <row r="6" spans="1:10" x14ac:dyDescent="0.2">
      <c r="A6" s="36">
        <v>4240329</v>
      </c>
      <c r="B6" s="40">
        <v>45047</v>
      </c>
      <c r="C6" s="37" t="s">
        <v>174</v>
      </c>
      <c r="D6" s="38">
        <v>34.99</v>
      </c>
      <c r="E6" s="37" t="s">
        <v>175</v>
      </c>
      <c r="F6" s="39"/>
      <c r="G6" s="39"/>
      <c r="H6" s="39" t="s">
        <v>182</v>
      </c>
      <c r="I6" s="39">
        <f>COUNTIFS(C:C,"CC")</f>
        <v>32</v>
      </c>
      <c r="J6" s="39"/>
    </row>
    <row r="7" spans="1:10" x14ac:dyDescent="0.2">
      <c r="A7" s="36">
        <v>9083181</v>
      </c>
      <c r="B7" s="40">
        <v>45070</v>
      </c>
      <c r="C7" s="37" t="s">
        <v>176</v>
      </c>
      <c r="D7" s="38">
        <v>14.72</v>
      </c>
      <c r="E7" s="37" t="s">
        <v>179</v>
      </c>
      <c r="F7" s="39"/>
      <c r="G7" s="39"/>
      <c r="H7" s="39" t="s">
        <v>183</v>
      </c>
      <c r="I7" s="39">
        <f>COUNTIFS($E:$E,"Bears", $C:$C,"PAC")</f>
        <v>16</v>
      </c>
      <c r="J7" s="39"/>
    </row>
    <row r="8" spans="1:10" x14ac:dyDescent="0.2">
      <c r="A8" s="36">
        <v>5198709</v>
      </c>
      <c r="B8" s="40">
        <v>45047</v>
      </c>
      <c r="C8" s="37" t="s">
        <v>176</v>
      </c>
      <c r="D8" s="38">
        <v>34.99</v>
      </c>
      <c r="E8" s="37" t="s">
        <v>177</v>
      </c>
      <c r="F8" s="39"/>
      <c r="G8" s="39"/>
      <c r="H8" s="39"/>
      <c r="I8" s="39"/>
      <c r="J8" s="39"/>
    </row>
    <row r="9" spans="1:10" x14ac:dyDescent="0.2">
      <c r="A9" s="36">
        <v>8290823</v>
      </c>
      <c r="B9" s="40">
        <v>45064</v>
      </c>
      <c r="C9" s="37" t="s">
        <v>174</v>
      </c>
      <c r="D9" s="38">
        <v>34.99</v>
      </c>
      <c r="E9" s="37" t="s">
        <v>179</v>
      </c>
      <c r="F9" s="39"/>
      <c r="G9" s="39"/>
      <c r="H9" s="39"/>
      <c r="I9" s="39"/>
      <c r="J9" s="39"/>
    </row>
    <row r="10" spans="1:10" x14ac:dyDescent="0.2">
      <c r="A10" s="36">
        <v>6146696</v>
      </c>
      <c r="B10" s="40">
        <v>45047</v>
      </c>
      <c r="C10" s="37" t="s">
        <v>176</v>
      </c>
      <c r="D10" s="38">
        <v>34.99</v>
      </c>
      <c r="E10" s="37" t="s">
        <v>177</v>
      </c>
      <c r="F10" s="39"/>
      <c r="G10" s="39"/>
      <c r="H10" s="39"/>
      <c r="I10" s="39"/>
      <c r="J10" s="39"/>
    </row>
    <row r="11" spans="1:10" x14ac:dyDescent="0.2">
      <c r="A11" s="36">
        <v>1514549</v>
      </c>
      <c r="B11" s="40">
        <v>45064</v>
      </c>
      <c r="C11" s="37" t="s">
        <v>176</v>
      </c>
      <c r="D11" s="38">
        <v>31.27</v>
      </c>
      <c r="E11" s="37" t="s">
        <v>177</v>
      </c>
      <c r="F11" s="39"/>
      <c r="G11" s="39"/>
      <c r="H11" s="39"/>
      <c r="I11" s="39"/>
      <c r="J11" s="39"/>
    </row>
    <row r="12" spans="1:10" x14ac:dyDescent="0.2">
      <c r="A12" s="36">
        <v>4414747</v>
      </c>
      <c r="B12" s="40">
        <v>45047</v>
      </c>
      <c r="C12" s="37" t="s">
        <v>174</v>
      </c>
      <c r="D12" s="38">
        <v>26.72</v>
      </c>
      <c r="E12" s="37" t="s">
        <v>177</v>
      </c>
      <c r="F12" s="39"/>
      <c r="G12" s="39"/>
      <c r="H12" s="41" t="s">
        <v>184</v>
      </c>
      <c r="I12" s="39"/>
      <c r="J12" s="39"/>
    </row>
    <row r="13" spans="1:10" x14ac:dyDescent="0.2">
      <c r="A13" s="36">
        <v>9352074</v>
      </c>
      <c r="B13" s="40">
        <v>45064</v>
      </c>
      <c r="C13" s="37" t="s">
        <v>174</v>
      </c>
      <c r="D13" s="38">
        <v>17.489999999999998</v>
      </c>
      <c r="E13" s="37" t="s">
        <v>177</v>
      </c>
      <c r="F13" s="39"/>
      <c r="G13" s="39"/>
      <c r="H13" s="39"/>
      <c r="I13" s="39"/>
      <c r="J13" s="39"/>
    </row>
    <row r="14" spans="1:10" x14ac:dyDescent="0.2">
      <c r="A14" s="36">
        <v>9743521</v>
      </c>
      <c r="B14" s="40">
        <v>45047</v>
      </c>
      <c r="C14" s="37" t="s">
        <v>176</v>
      </c>
      <c r="D14" s="38">
        <v>30.45</v>
      </c>
      <c r="E14" s="37" t="s">
        <v>179</v>
      </c>
      <c r="F14" s="39"/>
      <c r="G14" s="39"/>
      <c r="H14" s="39"/>
      <c r="I14" s="39"/>
      <c r="J14" s="39"/>
    </row>
    <row r="15" spans="1:10" x14ac:dyDescent="0.2">
      <c r="A15" s="36">
        <v>8737307</v>
      </c>
      <c r="B15" s="40">
        <v>45047</v>
      </c>
      <c r="C15" s="37" t="s">
        <v>176</v>
      </c>
      <c r="D15" s="38">
        <v>30.45</v>
      </c>
      <c r="E15" s="37" t="s">
        <v>177</v>
      </c>
      <c r="F15" s="39"/>
      <c r="G15" s="39"/>
      <c r="H15" s="39" t="s">
        <v>185</v>
      </c>
      <c r="I15" s="39">
        <f>SUMIFS($D:$D, $E:$E, "Bears")</f>
        <v>836.44000000000017</v>
      </c>
      <c r="J15" s="39"/>
    </row>
    <row r="16" spans="1:10" x14ac:dyDescent="0.2">
      <c r="A16" s="36">
        <v>8873835</v>
      </c>
      <c r="B16" s="40">
        <v>45047</v>
      </c>
      <c r="C16" s="37" t="s">
        <v>174</v>
      </c>
      <c r="D16" s="38">
        <v>26.72</v>
      </c>
      <c r="E16" s="37" t="s">
        <v>177</v>
      </c>
      <c r="F16" s="39"/>
      <c r="G16" s="39"/>
      <c r="H16" s="39" t="s">
        <v>186</v>
      </c>
      <c r="I16" s="39">
        <f>SUMIFS(D:D, E:E, "Vikings", C:C, "CC")</f>
        <v>228.73000000000002</v>
      </c>
      <c r="J16" s="39"/>
    </row>
    <row r="17" spans="1:10" x14ac:dyDescent="0.2">
      <c r="A17" s="36">
        <v>5369536</v>
      </c>
      <c r="B17" s="40">
        <v>45047</v>
      </c>
      <c r="C17" s="37" t="s">
        <v>176</v>
      </c>
      <c r="D17" s="38"/>
      <c r="E17" s="37" t="s">
        <v>175</v>
      </c>
      <c r="F17" s="39"/>
      <c r="G17" s="39"/>
      <c r="H17" s="39" t="s">
        <v>187</v>
      </c>
      <c r="I17" s="39">
        <f>SUMIFS(
  D:D,
  E:E,"Tigers",
  C:C,"PAC",
  B:B,"&gt;=5/5/2023",
  B:B,"&lt;=5/25/2023")</f>
        <v>0</v>
      </c>
      <c r="J17" s="39"/>
    </row>
    <row r="18" spans="1:10" x14ac:dyDescent="0.2">
      <c r="A18" s="36">
        <v>7070843</v>
      </c>
      <c r="B18" s="40">
        <v>45064</v>
      </c>
      <c r="C18" s="37" t="s">
        <v>176</v>
      </c>
      <c r="D18" s="38">
        <v>30.45</v>
      </c>
      <c r="E18" s="37" t="s">
        <v>175</v>
      </c>
      <c r="F18" s="39"/>
      <c r="G18" s="39"/>
      <c r="H18" s="39"/>
      <c r="I18" s="39"/>
      <c r="J18" s="39"/>
    </row>
    <row r="19" spans="1:10" x14ac:dyDescent="0.2">
      <c r="A19" s="36">
        <v>9851262</v>
      </c>
      <c r="B19" s="40">
        <v>45047</v>
      </c>
      <c r="C19" s="37" t="s">
        <v>176</v>
      </c>
      <c r="D19" s="38">
        <v>30.45</v>
      </c>
      <c r="E19" s="37" t="s">
        <v>175</v>
      </c>
      <c r="F19" s="39"/>
      <c r="G19" s="39"/>
      <c r="H19" s="39"/>
      <c r="I19" s="39"/>
      <c r="J19" s="39"/>
    </row>
    <row r="20" spans="1:10" x14ac:dyDescent="0.2">
      <c r="A20" s="36">
        <v>6935923</v>
      </c>
      <c r="B20" s="40">
        <v>45047</v>
      </c>
      <c r="C20" s="37" t="s">
        <v>176</v>
      </c>
      <c r="D20" s="38">
        <v>26.72</v>
      </c>
      <c r="E20" s="37" t="s">
        <v>179</v>
      </c>
      <c r="F20" s="39"/>
      <c r="G20" s="39"/>
      <c r="H20" s="39"/>
      <c r="I20" s="39"/>
      <c r="J20" s="39"/>
    </row>
    <row r="21" spans="1:10" x14ac:dyDescent="0.2">
      <c r="A21" s="36">
        <v>4014678</v>
      </c>
      <c r="B21" s="40">
        <v>45070</v>
      </c>
      <c r="C21" s="37" t="s">
        <v>176</v>
      </c>
      <c r="D21" s="38">
        <v>30.45</v>
      </c>
      <c r="E21" s="37" t="s">
        <v>179</v>
      </c>
      <c r="F21" s="39"/>
      <c r="G21" s="39"/>
      <c r="H21" s="39"/>
      <c r="I21" s="39"/>
      <c r="J21" s="39"/>
    </row>
    <row r="22" spans="1:10" x14ac:dyDescent="0.2">
      <c r="A22" s="36">
        <v>7182803</v>
      </c>
      <c r="B22" s="40">
        <v>45047</v>
      </c>
      <c r="C22" s="37" t="s">
        <v>176</v>
      </c>
      <c r="D22" s="38">
        <v>34.99</v>
      </c>
      <c r="E22" s="37" t="s">
        <v>179</v>
      </c>
      <c r="F22" s="39"/>
      <c r="G22" s="39"/>
      <c r="H22" s="39"/>
      <c r="I22" s="39"/>
      <c r="J22" s="39"/>
    </row>
    <row r="23" spans="1:10" x14ac:dyDescent="0.2">
      <c r="A23" s="36">
        <v>4920078</v>
      </c>
      <c r="B23" s="40">
        <v>45047</v>
      </c>
      <c r="C23" s="37" t="s">
        <v>176</v>
      </c>
      <c r="D23" s="38">
        <v>31.27</v>
      </c>
      <c r="E23" s="37" t="s">
        <v>177</v>
      </c>
      <c r="F23" s="39"/>
      <c r="G23" s="39"/>
      <c r="H23" s="39"/>
      <c r="I23" s="39"/>
      <c r="J23" s="39"/>
    </row>
    <row r="24" spans="1:10" x14ac:dyDescent="0.2">
      <c r="A24" s="36">
        <v>7807542</v>
      </c>
      <c r="B24" s="40">
        <v>45047</v>
      </c>
      <c r="C24" s="37" t="s">
        <v>174</v>
      </c>
      <c r="D24" s="38">
        <v>31.27</v>
      </c>
      <c r="E24" s="37" t="s">
        <v>179</v>
      </c>
      <c r="F24" s="39"/>
      <c r="G24" s="39"/>
      <c r="H24" s="39"/>
      <c r="I24" s="39"/>
      <c r="J24" s="39"/>
    </row>
    <row r="25" spans="1:10" x14ac:dyDescent="0.2">
      <c r="A25" s="36">
        <v>2943225</v>
      </c>
      <c r="B25" s="40">
        <v>45075</v>
      </c>
      <c r="C25" s="37" t="s">
        <v>174</v>
      </c>
      <c r="D25" s="38">
        <v>11.68</v>
      </c>
      <c r="E25" s="37" t="s">
        <v>177</v>
      </c>
      <c r="F25" s="39"/>
      <c r="G25" s="39"/>
      <c r="H25" s="39"/>
      <c r="I25" s="39"/>
      <c r="J25" s="39"/>
    </row>
    <row r="26" spans="1:10" x14ac:dyDescent="0.2">
      <c r="A26" s="36">
        <v>4566793</v>
      </c>
      <c r="B26" s="40">
        <v>45047</v>
      </c>
      <c r="C26" s="37" t="s">
        <v>176</v>
      </c>
      <c r="D26" s="38">
        <v>31.27</v>
      </c>
      <c r="E26" s="37" t="s">
        <v>177</v>
      </c>
      <c r="F26" s="39"/>
      <c r="G26" s="39"/>
      <c r="H26" s="39"/>
      <c r="I26" s="39"/>
      <c r="J26" s="39"/>
    </row>
    <row r="27" spans="1:10" x14ac:dyDescent="0.2">
      <c r="A27" s="36">
        <v>1417541</v>
      </c>
      <c r="B27" s="40">
        <v>45047</v>
      </c>
      <c r="C27" s="37" t="s">
        <v>174</v>
      </c>
      <c r="D27" s="38">
        <v>31.27</v>
      </c>
      <c r="E27" s="37" t="s">
        <v>179</v>
      </c>
      <c r="F27" s="39"/>
      <c r="G27" s="39"/>
      <c r="H27" s="39"/>
      <c r="I27" s="39"/>
      <c r="J27" s="39"/>
    </row>
    <row r="28" spans="1:10" x14ac:dyDescent="0.2">
      <c r="A28" s="36">
        <v>5775248</v>
      </c>
      <c r="B28" s="40">
        <v>45047</v>
      </c>
      <c r="C28" s="37" t="s">
        <v>176</v>
      </c>
      <c r="D28" s="38">
        <v>31.27</v>
      </c>
      <c r="E28" s="37" t="s">
        <v>177</v>
      </c>
      <c r="F28" s="39"/>
      <c r="G28" s="39"/>
      <c r="H28" s="39"/>
      <c r="I28" s="39"/>
      <c r="J28" s="39"/>
    </row>
    <row r="29" spans="1:10" x14ac:dyDescent="0.2">
      <c r="A29" s="36">
        <v>8348544</v>
      </c>
      <c r="B29" s="40">
        <v>45047</v>
      </c>
      <c r="C29" s="37" t="s">
        <v>174</v>
      </c>
      <c r="D29" s="38">
        <v>31.27</v>
      </c>
      <c r="E29" s="37" t="s">
        <v>175</v>
      </c>
      <c r="F29" s="39"/>
      <c r="G29" s="39"/>
      <c r="H29" s="39"/>
      <c r="I29" s="39"/>
      <c r="J29" s="39"/>
    </row>
    <row r="30" spans="1:10" x14ac:dyDescent="0.2">
      <c r="A30" s="36">
        <v>8849242</v>
      </c>
      <c r="B30" s="40">
        <v>45070</v>
      </c>
      <c r="C30" s="37" t="s">
        <v>174</v>
      </c>
      <c r="D30" s="38">
        <v>31.27</v>
      </c>
      <c r="E30" s="37" t="s">
        <v>179</v>
      </c>
      <c r="F30" s="39"/>
      <c r="G30" s="39"/>
      <c r="H30" s="39"/>
      <c r="I30" s="39"/>
      <c r="J30" s="39"/>
    </row>
    <row r="31" spans="1:10" x14ac:dyDescent="0.2">
      <c r="A31" s="36">
        <v>6613073</v>
      </c>
      <c r="B31" s="40">
        <v>45047</v>
      </c>
      <c r="C31" s="37" t="s">
        <v>176</v>
      </c>
      <c r="D31" s="38">
        <v>31.27</v>
      </c>
      <c r="E31" s="37" t="s">
        <v>175</v>
      </c>
      <c r="F31" s="39"/>
      <c r="G31" s="39"/>
      <c r="H31" s="39"/>
      <c r="I31" s="39"/>
      <c r="J31" s="39"/>
    </row>
    <row r="32" spans="1:10" x14ac:dyDescent="0.2">
      <c r="A32" s="36">
        <v>4545369</v>
      </c>
      <c r="B32" s="40">
        <v>45064</v>
      </c>
      <c r="C32" s="37" t="s">
        <v>174</v>
      </c>
      <c r="D32" s="38">
        <v>31.27</v>
      </c>
      <c r="E32" s="37" t="s">
        <v>179</v>
      </c>
      <c r="F32" s="39"/>
      <c r="G32" s="39"/>
      <c r="H32" s="39"/>
      <c r="I32" s="39"/>
      <c r="J32" s="39"/>
    </row>
    <row r="33" spans="1:10" x14ac:dyDescent="0.2">
      <c r="A33" s="36">
        <v>9838509</v>
      </c>
      <c r="B33" s="40">
        <v>45047</v>
      </c>
      <c r="C33" s="37" t="s">
        <v>176</v>
      </c>
      <c r="D33" s="38">
        <v>31.27</v>
      </c>
      <c r="E33" s="37" t="s">
        <v>175</v>
      </c>
      <c r="F33" s="39"/>
      <c r="G33" s="39"/>
      <c r="H33" s="39"/>
      <c r="I33" s="39"/>
      <c r="J33" s="39"/>
    </row>
    <row r="34" spans="1:10" x14ac:dyDescent="0.2">
      <c r="A34" s="36">
        <v>1584863</v>
      </c>
      <c r="B34" s="40">
        <v>45070</v>
      </c>
      <c r="C34" s="37" t="s">
        <v>176</v>
      </c>
      <c r="D34" s="38">
        <v>31.27</v>
      </c>
      <c r="E34" s="37" t="s">
        <v>179</v>
      </c>
      <c r="F34" s="39"/>
      <c r="G34" s="39"/>
      <c r="H34" s="39"/>
      <c r="I34" s="39"/>
      <c r="J34" s="39"/>
    </row>
    <row r="35" spans="1:10" x14ac:dyDescent="0.2">
      <c r="A35" s="36">
        <v>7324391</v>
      </c>
      <c r="B35" s="40">
        <v>45047</v>
      </c>
      <c r="C35" s="37" t="s">
        <v>174</v>
      </c>
      <c r="D35" s="38">
        <v>31.27</v>
      </c>
      <c r="E35" s="37" t="s">
        <v>179</v>
      </c>
      <c r="F35" s="39"/>
      <c r="G35" s="39"/>
      <c r="H35" s="39"/>
      <c r="I35" s="39"/>
      <c r="J35" s="39"/>
    </row>
    <row r="36" spans="1:10" x14ac:dyDescent="0.2">
      <c r="A36" s="36">
        <v>8008828</v>
      </c>
      <c r="B36" s="40">
        <v>45047</v>
      </c>
      <c r="C36" s="37" t="s">
        <v>176</v>
      </c>
      <c r="D36" s="38">
        <v>23.45</v>
      </c>
      <c r="E36" s="37" t="s">
        <v>179</v>
      </c>
      <c r="F36" s="39"/>
      <c r="G36" s="39"/>
      <c r="H36" s="39"/>
      <c r="I36" s="39"/>
      <c r="J36" s="39"/>
    </row>
    <row r="37" spans="1:10" x14ac:dyDescent="0.2">
      <c r="A37" s="36">
        <v>1120871</v>
      </c>
      <c r="B37" s="40">
        <v>45047</v>
      </c>
      <c r="C37" s="37" t="s">
        <v>176</v>
      </c>
      <c r="D37" s="38">
        <v>23.45</v>
      </c>
      <c r="E37" s="37" t="s">
        <v>179</v>
      </c>
      <c r="F37" s="39"/>
      <c r="G37" s="39"/>
      <c r="H37" s="39"/>
      <c r="I37" s="39"/>
      <c r="J37" s="39"/>
    </row>
    <row r="38" spans="1:10" x14ac:dyDescent="0.2">
      <c r="A38" s="36">
        <v>4696609</v>
      </c>
      <c r="B38" s="40">
        <v>45070</v>
      </c>
      <c r="C38" s="37" t="s">
        <v>176</v>
      </c>
      <c r="D38" s="38">
        <v>34.99</v>
      </c>
      <c r="E38" s="37" t="s">
        <v>179</v>
      </c>
      <c r="F38" s="39"/>
      <c r="G38" s="39"/>
      <c r="H38" s="39"/>
      <c r="I38" s="39"/>
      <c r="J38" s="39"/>
    </row>
    <row r="39" spans="1:10" x14ac:dyDescent="0.2">
      <c r="A39" s="36">
        <v>3868507</v>
      </c>
      <c r="B39" s="40">
        <v>45064</v>
      </c>
      <c r="C39" s="37" t="s">
        <v>174</v>
      </c>
      <c r="D39" s="38">
        <v>34.99</v>
      </c>
      <c r="E39" s="37" t="s">
        <v>175</v>
      </c>
      <c r="F39" s="39"/>
      <c r="G39" s="39"/>
      <c r="H39" s="39"/>
      <c r="I39" s="39"/>
      <c r="J39" s="39"/>
    </row>
    <row r="40" spans="1:10" x14ac:dyDescent="0.2">
      <c r="A40" s="36">
        <v>8598422</v>
      </c>
      <c r="B40" s="40">
        <v>45047</v>
      </c>
      <c r="C40" s="37" t="s">
        <v>176</v>
      </c>
      <c r="D40" s="38">
        <v>23.45</v>
      </c>
      <c r="E40" s="37" t="s">
        <v>179</v>
      </c>
      <c r="F40" s="39"/>
      <c r="G40" s="39"/>
      <c r="H40" s="39"/>
      <c r="I40" s="39"/>
      <c r="J40" s="39"/>
    </row>
    <row r="41" spans="1:10" x14ac:dyDescent="0.2">
      <c r="A41" s="36">
        <v>1588581</v>
      </c>
      <c r="B41" s="40">
        <v>45047</v>
      </c>
      <c r="C41" s="37" t="s">
        <v>174</v>
      </c>
      <c r="D41" s="38">
        <v>31.27</v>
      </c>
      <c r="E41" s="37" t="s">
        <v>177</v>
      </c>
      <c r="F41" s="39"/>
      <c r="G41" s="39"/>
      <c r="H41" s="39"/>
      <c r="I41" s="39"/>
      <c r="J41" s="39"/>
    </row>
    <row r="42" spans="1:10" x14ac:dyDescent="0.2">
      <c r="A42" s="36">
        <v>9310434</v>
      </c>
      <c r="B42" s="40">
        <v>45047</v>
      </c>
      <c r="C42" s="37" t="s">
        <v>174</v>
      </c>
      <c r="D42" s="38">
        <v>31.27</v>
      </c>
      <c r="E42" s="37" t="s">
        <v>175</v>
      </c>
      <c r="F42" s="39"/>
      <c r="G42" s="39"/>
      <c r="H42" s="39"/>
      <c r="I42" s="39"/>
      <c r="J42" s="39"/>
    </row>
    <row r="43" spans="1:10" x14ac:dyDescent="0.2">
      <c r="A43" s="36">
        <v>2101853</v>
      </c>
      <c r="B43" s="40">
        <v>45047</v>
      </c>
      <c r="C43" s="37" t="s">
        <v>174</v>
      </c>
      <c r="D43" s="38">
        <v>31.27</v>
      </c>
      <c r="E43" s="37" t="s">
        <v>175</v>
      </c>
      <c r="F43" s="39"/>
      <c r="G43" s="39"/>
      <c r="H43" s="39"/>
      <c r="I43" s="39"/>
      <c r="J43" s="39"/>
    </row>
    <row r="44" spans="1:10" x14ac:dyDescent="0.2">
      <c r="A44" s="36">
        <v>9160830</v>
      </c>
      <c r="B44" s="40">
        <v>45047</v>
      </c>
      <c r="C44" s="37" t="s">
        <v>176</v>
      </c>
      <c r="D44" s="38">
        <v>31.27</v>
      </c>
      <c r="E44" s="37" t="s">
        <v>177</v>
      </c>
      <c r="F44" s="39"/>
      <c r="G44" s="39"/>
      <c r="H44" s="39"/>
      <c r="I44" s="39"/>
      <c r="J44" s="39"/>
    </row>
    <row r="45" spans="1:10" x14ac:dyDescent="0.2">
      <c r="A45" s="36">
        <v>6659240</v>
      </c>
      <c r="B45" s="40">
        <v>45047</v>
      </c>
      <c r="C45" s="37" t="s">
        <v>174</v>
      </c>
      <c r="D45" s="38">
        <v>34.99</v>
      </c>
      <c r="E45" s="37" t="s">
        <v>177</v>
      </c>
      <c r="F45" s="39"/>
      <c r="G45" s="39"/>
      <c r="H45" s="39"/>
      <c r="I45" s="39"/>
      <c r="J45" s="39"/>
    </row>
    <row r="46" spans="1:10" x14ac:dyDescent="0.2">
      <c r="A46" s="36">
        <v>6311864</v>
      </c>
      <c r="B46" s="40">
        <v>45050</v>
      </c>
      <c r="C46" s="37" t="s">
        <v>174</v>
      </c>
      <c r="D46" s="38">
        <v>26.72</v>
      </c>
      <c r="E46" s="37" t="s">
        <v>177</v>
      </c>
      <c r="F46" s="39"/>
      <c r="G46" s="39"/>
      <c r="H46" s="39"/>
      <c r="I46" s="39"/>
      <c r="J46" s="39"/>
    </row>
    <row r="47" spans="1:10" x14ac:dyDescent="0.2">
      <c r="A47" s="36">
        <v>5156128</v>
      </c>
      <c r="B47" s="40">
        <v>45047</v>
      </c>
      <c r="C47" s="37" t="s">
        <v>174</v>
      </c>
      <c r="D47" s="38">
        <v>29.95</v>
      </c>
      <c r="E47" s="37" t="s">
        <v>177</v>
      </c>
      <c r="F47" s="39"/>
      <c r="G47" s="39"/>
      <c r="H47" s="39"/>
      <c r="I47" s="39"/>
      <c r="J47" s="39"/>
    </row>
    <row r="48" spans="1:10" x14ac:dyDescent="0.2">
      <c r="A48" s="36">
        <v>7926757</v>
      </c>
      <c r="B48" s="40">
        <v>45047</v>
      </c>
      <c r="C48" s="37" t="s">
        <v>174</v>
      </c>
      <c r="D48" s="38">
        <v>34.99</v>
      </c>
      <c r="E48" s="37" t="s">
        <v>179</v>
      </c>
      <c r="F48" s="39"/>
      <c r="G48" s="39"/>
      <c r="H48" s="39"/>
      <c r="I48" s="39"/>
      <c r="J48" s="39"/>
    </row>
    <row r="49" spans="1:10" x14ac:dyDescent="0.2">
      <c r="A49" s="36">
        <v>9641754</v>
      </c>
      <c r="B49" s="40">
        <v>45047</v>
      </c>
      <c r="C49" s="37" t="s">
        <v>174</v>
      </c>
      <c r="D49" s="38">
        <v>31.27</v>
      </c>
      <c r="E49" s="37" t="s">
        <v>177</v>
      </c>
      <c r="F49" s="39"/>
      <c r="G49" s="39"/>
      <c r="H49" s="39"/>
      <c r="I49" s="39"/>
      <c r="J49" s="39"/>
    </row>
    <row r="50" spans="1:10" x14ac:dyDescent="0.2">
      <c r="A50" s="36">
        <v>7940745</v>
      </c>
      <c r="B50" s="40">
        <v>45051</v>
      </c>
      <c r="C50" s="37" t="s">
        <v>176</v>
      </c>
      <c r="D50" s="38">
        <v>19.95</v>
      </c>
      <c r="E50" s="37" t="s">
        <v>177</v>
      </c>
      <c r="F50" s="39"/>
      <c r="G50" s="39"/>
      <c r="H50" s="39"/>
      <c r="I50" s="39"/>
      <c r="J50" s="39"/>
    </row>
    <row r="51" spans="1:10" x14ac:dyDescent="0.2">
      <c r="A51" s="36">
        <v>7848540</v>
      </c>
      <c r="B51" s="40">
        <v>45047</v>
      </c>
      <c r="C51" s="37" t="s">
        <v>174</v>
      </c>
      <c r="D51" s="38">
        <v>34.99</v>
      </c>
      <c r="E51" s="37" t="s">
        <v>179</v>
      </c>
      <c r="F51" s="39"/>
      <c r="G51" s="39"/>
      <c r="H51" s="39"/>
      <c r="I51" s="39"/>
      <c r="J51" s="39"/>
    </row>
    <row r="52" spans="1:10" x14ac:dyDescent="0.2">
      <c r="A52" s="36">
        <v>9729991</v>
      </c>
      <c r="B52" s="40">
        <v>45071</v>
      </c>
      <c r="C52" s="37" t="s">
        <v>174</v>
      </c>
      <c r="D52" s="38">
        <v>31.27</v>
      </c>
      <c r="E52" s="37" t="s">
        <v>177</v>
      </c>
      <c r="F52" s="39"/>
      <c r="G52" s="39"/>
      <c r="H52" s="39"/>
      <c r="I52" s="39"/>
      <c r="J52" s="39"/>
    </row>
    <row r="53" spans="1:10" x14ac:dyDescent="0.2">
      <c r="A53" s="36">
        <v>1978523</v>
      </c>
      <c r="B53" s="40">
        <v>45047</v>
      </c>
      <c r="C53" s="37" t="s">
        <v>176</v>
      </c>
      <c r="D53" s="38">
        <v>26.72</v>
      </c>
      <c r="E53" s="37" t="s">
        <v>175</v>
      </c>
      <c r="F53" s="39"/>
      <c r="G53" s="39"/>
      <c r="H53" s="39"/>
      <c r="I53" s="39"/>
      <c r="J53" s="39"/>
    </row>
    <row r="54" spans="1:10" x14ac:dyDescent="0.2">
      <c r="A54" s="36">
        <v>4135947</v>
      </c>
      <c r="B54" s="40">
        <v>45057</v>
      </c>
      <c r="C54" s="37" t="s">
        <v>176</v>
      </c>
      <c r="D54" s="38">
        <v>26.72</v>
      </c>
      <c r="E54" s="37" t="s">
        <v>177</v>
      </c>
      <c r="F54" s="39"/>
      <c r="G54" s="39"/>
      <c r="H54" s="39"/>
      <c r="I54" s="39"/>
      <c r="J54" s="39"/>
    </row>
    <row r="55" spans="1:10" x14ac:dyDescent="0.2">
      <c r="A55" s="36">
        <v>6773414</v>
      </c>
      <c r="B55" s="40">
        <v>45066</v>
      </c>
      <c r="C55" s="37" t="s">
        <v>174</v>
      </c>
      <c r="D55" s="38">
        <v>34.99</v>
      </c>
      <c r="E55" s="37" t="s">
        <v>177</v>
      </c>
      <c r="F55" s="39"/>
      <c r="G55" s="39"/>
      <c r="H55" s="39"/>
      <c r="I55" s="39"/>
      <c r="J55" s="39"/>
    </row>
    <row r="56" spans="1:10" x14ac:dyDescent="0.2">
      <c r="A56" s="36">
        <v>5099819</v>
      </c>
      <c r="B56" s="40">
        <v>45047</v>
      </c>
      <c r="C56" s="37" t="s">
        <v>174</v>
      </c>
      <c r="D56" s="38">
        <v>31.27</v>
      </c>
      <c r="E56" s="37" t="s">
        <v>179</v>
      </c>
      <c r="F56" s="39"/>
      <c r="G56" s="39"/>
      <c r="H56" s="39"/>
      <c r="I56" s="39"/>
      <c r="J56" s="39"/>
    </row>
    <row r="57" spans="1:10" x14ac:dyDescent="0.2">
      <c r="A57" s="36">
        <v>8942870</v>
      </c>
      <c r="B57" s="40">
        <v>45047</v>
      </c>
      <c r="C57" s="37" t="s">
        <v>176</v>
      </c>
      <c r="D57" s="38">
        <v>31.27</v>
      </c>
      <c r="E57" s="37" t="s">
        <v>177</v>
      </c>
      <c r="F57" s="39"/>
      <c r="G57" s="39"/>
      <c r="H57" s="39"/>
      <c r="I57" s="39"/>
      <c r="J57" s="39"/>
    </row>
    <row r="58" spans="1:10" x14ac:dyDescent="0.2">
      <c r="A58" s="36">
        <v>6143631</v>
      </c>
      <c r="B58" s="40">
        <v>45047</v>
      </c>
      <c r="C58" s="37" t="s">
        <v>174</v>
      </c>
      <c r="D58" s="38">
        <v>19.95</v>
      </c>
      <c r="E58" s="37" t="s">
        <v>179</v>
      </c>
      <c r="F58" s="39"/>
      <c r="G58" s="39"/>
      <c r="H58" s="39"/>
      <c r="I58" s="39"/>
      <c r="J58" s="39"/>
    </row>
    <row r="59" spans="1:10" x14ac:dyDescent="0.2">
      <c r="A59" s="36">
        <v>7766747</v>
      </c>
      <c r="B59" s="40">
        <v>45068</v>
      </c>
      <c r="C59" s="37" t="s">
        <v>176</v>
      </c>
      <c r="D59" s="38">
        <v>19.95</v>
      </c>
      <c r="E59" s="37" t="s">
        <v>177</v>
      </c>
      <c r="F59" s="39"/>
      <c r="G59" s="39"/>
      <c r="H59" s="39"/>
      <c r="I59" s="39"/>
      <c r="J59" s="39"/>
    </row>
    <row r="60" spans="1:10" x14ac:dyDescent="0.2">
      <c r="A60" s="36">
        <v>4231067</v>
      </c>
      <c r="B60" s="40">
        <v>45047</v>
      </c>
      <c r="C60" s="37" t="s">
        <v>176</v>
      </c>
      <c r="D60" s="38">
        <v>19.95</v>
      </c>
      <c r="E60" s="37" t="s">
        <v>177</v>
      </c>
      <c r="F60" s="39"/>
      <c r="G60" s="39"/>
      <c r="H60" s="39"/>
      <c r="I60" s="39"/>
      <c r="J60" s="39"/>
    </row>
    <row r="61" spans="1:10" x14ac:dyDescent="0.2">
      <c r="A61" s="36">
        <v>7259178</v>
      </c>
      <c r="B61" s="40">
        <v>45052</v>
      </c>
      <c r="C61" s="37" t="s">
        <v>176</v>
      </c>
      <c r="D61" s="38">
        <v>29.95</v>
      </c>
      <c r="E61" s="37" t="s">
        <v>177</v>
      </c>
      <c r="F61" s="39"/>
      <c r="G61" s="39"/>
      <c r="H61" s="39"/>
      <c r="I61" s="39"/>
      <c r="J61" s="39"/>
    </row>
    <row r="62" spans="1:10" x14ac:dyDescent="0.2">
      <c r="A62" s="36">
        <v>9110658</v>
      </c>
      <c r="B62" s="40">
        <v>45047</v>
      </c>
      <c r="C62" s="37" t="s">
        <v>174</v>
      </c>
      <c r="D62" s="38">
        <v>29.95</v>
      </c>
      <c r="E62" s="37" t="s">
        <v>175</v>
      </c>
      <c r="F62" s="39"/>
      <c r="G62" s="39"/>
      <c r="H62" s="39"/>
      <c r="I62" s="39"/>
      <c r="J62" s="39"/>
    </row>
    <row r="63" spans="1:10" x14ac:dyDescent="0.2">
      <c r="A63" s="36">
        <v>2776081</v>
      </c>
      <c r="B63" s="40">
        <v>45047</v>
      </c>
      <c r="C63" s="37" t="s">
        <v>174</v>
      </c>
      <c r="D63" s="38">
        <v>29.95</v>
      </c>
      <c r="E63" s="37" t="s">
        <v>179</v>
      </c>
      <c r="F63" s="39"/>
      <c r="G63" s="39"/>
      <c r="H63" s="39"/>
      <c r="I63" s="39"/>
      <c r="J63" s="39"/>
    </row>
    <row r="64" spans="1:10" x14ac:dyDescent="0.2">
      <c r="A64" s="36">
        <v>4122234</v>
      </c>
      <c r="B64" s="40">
        <v>45047</v>
      </c>
      <c r="C64" s="37" t="s">
        <v>176</v>
      </c>
      <c r="D64" s="38">
        <v>19.95</v>
      </c>
      <c r="E64" s="37" t="s">
        <v>175</v>
      </c>
      <c r="F64" s="39"/>
      <c r="G64" s="39"/>
      <c r="H64" s="39"/>
      <c r="I64" s="39"/>
      <c r="J64" s="39"/>
    </row>
    <row r="65" spans="1:10" x14ac:dyDescent="0.2">
      <c r="A65" s="36">
        <v>7657105</v>
      </c>
      <c r="B65" s="40">
        <v>45073</v>
      </c>
      <c r="C65" s="37" t="s">
        <v>176</v>
      </c>
      <c r="D65" s="38">
        <v>26.72</v>
      </c>
      <c r="E65" s="37" t="s">
        <v>179</v>
      </c>
      <c r="F65" s="39"/>
      <c r="G65" s="39"/>
      <c r="H65" s="39"/>
      <c r="I65" s="39"/>
      <c r="J65" s="39"/>
    </row>
    <row r="66" spans="1:10" x14ac:dyDescent="0.2">
      <c r="A66" s="36">
        <v>6998984</v>
      </c>
      <c r="B66" s="40">
        <v>45047</v>
      </c>
      <c r="C66" s="37" t="s">
        <v>176</v>
      </c>
      <c r="D66" s="38">
        <v>34.99</v>
      </c>
      <c r="E66" s="37" t="s">
        <v>179</v>
      </c>
      <c r="F66" s="39"/>
      <c r="G66" s="39"/>
      <c r="H66" s="39"/>
      <c r="I66" s="39"/>
      <c r="J66" s="39"/>
    </row>
    <row r="67" spans="1:10" x14ac:dyDescent="0.2">
      <c r="A67" s="36">
        <v>8165132</v>
      </c>
      <c r="B67" s="40">
        <v>45047</v>
      </c>
      <c r="C67" s="37" t="s">
        <v>174</v>
      </c>
      <c r="D67" s="38">
        <v>34.99</v>
      </c>
      <c r="E67" s="37" t="s">
        <v>177</v>
      </c>
      <c r="F67" s="39"/>
      <c r="G67" s="39"/>
      <c r="H67" s="39"/>
      <c r="I67" s="39"/>
      <c r="J67" s="39"/>
    </row>
    <row r="68" spans="1:10" x14ac:dyDescent="0.2">
      <c r="A68" s="36">
        <v>5364524</v>
      </c>
      <c r="B68" s="40">
        <v>45047</v>
      </c>
      <c r="C68" s="37" t="s">
        <v>176</v>
      </c>
      <c r="D68" s="38">
        <v>31.27</v>
      </c>
      <c r="E68" s="37" t="s">
        <v>188</v>
      </c>
      <c r="F68" s="39"/>
      <c r="G68" s="39"/>
      <c r="H68" s="39"/>
      <c r="I68" s="39"/>
      <c r="J68" s="39"/>
    </row>
    <row r="69" spans="1:10" x14ac:dyDescent="0.2">
      <c r="A69" s="36">
        <v>4071449</v>
      </c>
      <c r="B69" s="40">
        <v>45069</v>
      </c>
      <c r="C69" s="37" t="s">
        <v>174</v>
      </c>
      <c r="D69" s="38">
        <v>31.27</v>
      </c>
      <c r="E69" s="37" t="s">
        <v>177</v>
      </c>
      <c r="F69" s="39"/>
      <c r="G69" s="39"/>
      <c r="H69" s="39"/>
      <c r="I69" s="39"/>
      <c r="J69" s="39"/>
    </row>
    <row r="70" spans="1:10" x14ac:dyDescent="0.2">
      <c r="A70" s="36">
        <v>1177402</v>
      </c>
      <c r="B70" s="40">
        <v>45054</v>
      </c>
      <c r="C70" s="37" t="s">
        <v>176</v>
      </c>
      <c r="D70" s="38">
        <v>31.27</v>
      </c>
      <c r="E70" s="37" t="s">
        <v>177</v>
      </c>
      <c r="F70" s="39"/>
      <c r="G70" s="39"/>
      <c r="H70" s="39"/>
      <c r="I70" s="39"/>
      <c r="J70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1"/>
  <sheetViews>
    <sheetView workbookViewId="0">
      <selection activeCell="E9" sqref="E9"/>
    </sheetView>
  </sheetViews>
  <sheetFormatPr defaultColWidth="12.5703125" defaultRowHeight="15" customHeight="1" x14ac:dyDescent="0.2"/>
  <cols>
    <col min="1" max="1" width="14.42578125" customWidth="1"/>
    <col min="2" max="2" width="18.42578125" customWidth="1"/>
    <col min="3" max="3" width="26.85546875" customWidth="1"/>
    <col min="4" max="5" width="14.42578125" customWidth="1"/>
    <col min="6" max="6" width="19.28515625" customWidth="1"/>
    <col min="7" max="8" width="14.42578125" customWidth="1"/>
  </cols>
  <sheetData>
    <row r="1" spans="1:8" ht="38.25" customHeight="1" x14ac:dyDescent="0.2">
      <c r="A1" s="43"/>
      <c r="B1" s="44" t="s">
        <v>189</v>
      </c>
      <c r="C1" s="43"/>
      <c r="D1" s="43"/>
      <c r="E1" s="43"/>
      <c r="F1" s="43"/>
      <c r="G1" s="43"/>
      <c r="H1" s="43"/>
    </row>
    <row r="2" spans="1:8" ht="15.75" customHeight="1" x14ac:dyDescent="0.2">
      <c r="A2" s="43"/>
      <c r="B2" s="67" t="s">
        <v>190</v>
      </c>
      <c r="C2" s="53"/>
      <c r="D2" s="53"/>
      <c r="E2" s="53"/>
      <c r="F2" s="53"/>
      <c r="G2" s="43"/>
      <c r="H2" s="43"/>
    </row>
    <row r="3" spans="1:8" ht="15.75" customHeight="1" x14ac:dyDescent="0.2">
      <c r="A3" s="43"/>
      <c r="B3" s="53"/>
      <c r="C3" s="53"/>
      <c r="D3" s="53"/>
      <c r="E3" s="53"/>
      <c r="F3" s="53"/>
      <c r="G3" s="43"/>
      <c r="H3" s="43"/>
    </row>
    <row r="4" spans="1:8" ht="15.75" customHeight="1" x14ac:dyDescent="0.2">
      <c r="A4" s="43"/>
      <c r="B4" s="43"/>
      <c r="C4" s="5"/>
      <c r="D4" s="5"/>
      <c r="E4" s="5"/>
      <c r="F4" s="43"/>
      <c r="G4" s="43"/>
      <c r="H4" s="43"/>
    </row>
    <row r="5" spans="1:8" ht="15.75" customHeight="1" x14ac:dyDescent="0.2">
      <c r="A5" s="43"/>
      <c r="B5" s="64" t="s">
        <v>191</v>
      </c>
      <c r="C5" s="53"/>
      <c r="D5" s="46" t="s">
        <v>192</v>
      </c>
      <c r="E5" s="14" t="s">
        <v>180</v>
      </c>
      <c r="F5" s="43"/>
      <c r="G5" s="43"/>
      <c r="H5" s="43"/>
    </row>
    <row r="6" spans="1:8" ht="15.75" customHeight="1" x14ac:dyDescent="0.2">
      <c r="A6" s="43"/>
      <c r="B6" s="65" t="s">
        <v>193</v>
      </c>
      <c r="C6" s="66"/>
      <c r="D6" s="47">
        <v>5156128</v>
      </c>
      <c r="E6" s="7" t="str">
        <f>VLOOKUP(D6, 'COUNTIFS &amp; SUMIFS - Part 2'!$A:$E, 5, FALSE)</f>
        <v>Bears</v>
      </c>
      <c r="F6" s="43"/>
      <c r="G6" s="43"/>
      <c r="H6" s="43"/>
    </row>
    <row r="7" spans="1:8" ht="15.75" customHeight="1" x14ac:dyDescent="0.2">
      <c r="A7" s="43"/>
      <c r="B7" s="65" t="s">
        <v>194</v>
      </c>
      <c r="C7" s="66"/>
      <c r="D7" s="47">
        <v>9743521</v>
      </c>
      <c r="E7" s="7" t="str">
        <f>VLOOKUP(D7, 'COUNTIFS &amp; SUMIFS - Part 2'!$A:$E, 3, FALSE)</f>
        <v>PAC</v>
      </c>
      <c r="F7" s="43"/>
      <c r="G7" s="43"/>
      <c r="H7" s="43"/>
    </row>
    <row r="8" spans="1:8" ht="15.75" customHeight="1" x14ac:dyDescent="0.2">
      <c r="A8" s="43"/>
      <c r="B8" s="65" t="s">
        <v>195</v>
      </c>
      <c r="C8" s="66"/>
      <c r="D8" s="47">
        <v>9083181</v>
      </c>
      <c r="E8" s="77">
        <f>VLOOKUP(VALUE(D8), 'COUNTIFS &amp; SUMIFS - Part 2'!$A:$E, 2, FALSE)</f>
        <v>45070</v>
      </c>
      <c r="F8" s="43"/>
      <c r="G8" s="43"/>
      <c r="H8" s="43"/>
    </row>
    <row r="9" spans="1:8" ht="15.75" customHeight="1" x14ac:dyDescent="0.2">
      <c r="A9" s="43"/>
      <c r="B9" s="65" t="s">
        <v>196</v>
      </c>
      <c r="C9" s="66"/>
      <c r="D9" s="47">
        <v>5364524</v>
      </c>
      <c r="E9" s="7" t="str">
        <f>VLOOKUP(D9, 'COUNTIFS &amp; SUMIFS - Part 2'!$A:$E, 5, FALSE)</f>
        <v>Eagles</v>
      </c>
      <c r="F9" s="43"/>
      <c r="G9" s="43"/>
      <c r="H9" s="43"/>
    </row>
    <row r="10" spans="1:8" ht="15.75" customHeight="1" x14ac:dyDescent="0.2">
      <c r="A10" s="43"/>
      <c r="B10" s="43"/>
      <c r="C10" s="5"/>
      <c r="D10" s="5"/>
      <c r="E10" s="5"/>
      <c r="F10" s="43"/>
      <c r="G10" s="43"/>
      <c r="H10" s="43"/>
    </row>
    <row r="11" spans="1:8" ht="15.75" customHeight="1" x14ac:dyDescent="0.2">
      <c r="A11" s="43"/>
      <c r="B11" s="43"/>
      <c r="C11" s="5"/>
      <c r="D11" s="5"/>
      <c r="E11" s="5"/>
      <c r="F11" s="43"/>
      <c r="G11" s="43"/>
      <c r="H11" s="43"/>
    </row>
  </sheetData>
  <mergeCells count="6">
    <mergeCell ref="B2:F3"/>
    <mergeCell ref="B5:C5"/>
    <mergeCell ref="B6:C6"/>
    <mergeCell ref="B7:C7"/>
    <mergeCell ref="B8:C8"/>
    <mergeCell ref="B9:C9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43"/>
  <sheetViews>
    <sheetView topLeftCell="A28" workbookViewId="0">
      <selection activeCell="G41" sqref="G41"/>
    </sheetView>
  </sheetViews>
  <sheetFormatPr defaultColWidth="12.5703125" defaultRowHeight="15" customHeight="1" x14ac:dyDescent="0.2"/>
  <cols>
    <col min="1" max="1" width="8.85546875" customWidth="1"/>
    <col min="2" max="2" width="10.140625" customWidth="1"/>
    <col min="3" max="3" width="15" customWidth="1"/>
    <col min="4" max="4" width="15.85546875" customWidth="1"/>
    <col min="5" max="5" width="13.5703125" customWidth="1"/>
    <col min="6" max="6" width="15.7109375" customWidth="1"/>
    <col min="7" max="7" width="10.140625" customWidth="1"/>
    <col min="8" max="8" width="14.42578125" customWidth="1"/>
  </cols>
  <sheetData>
    <row r="1" spans="1:8" ht="15.75" customHeight="1" x14ac:dyDescent="0.2">
      <c r="A1" s="43"/>
      <c r="B1" s="43"/>
      <c r="C1" s="43"/>
      <c r="D1" s="43"/>
      <c r="E1" s="43"/>
      <c r="F1" s="43"/>
      <c r="G1" s="43"/>
      <c r="H1" s="43"/>
    </row>
    <row r="2" spans="1:8" ht="15.75" customHeight="1" x14ac:dyDescent="0.2">
      <c r="A2" s="43"/>
      <c r="B2" s="48" t="s">
        <v>197</v>
      </c>
      <c r="C2" s="43"/>
      <c r="D2" s="43"/>
      <c r="E2" s="43"/>
      <c r="F2" s="43"/>
      <c r="G2" s="43"/>
      <c r="H2" s="43"/>
    </row>
    <row r="3" spans="1:8" ht="15.75" customHeight="1" x14ac:dyDescent="0.2">
      <c r="A3" s="43"/>
      <c r="B3" s="45" t="s">
        <v>198</v>
      </c>
      <c r="C3" s="43"/>
      <c r="D3" s="43"/>
      <c r="E3" s="43"/>
      <c r="F3" s="43"/>
      <c r="G3" s="43"/>
      <c r="H3" s="43"/>
    </row>
    <row r="4" spans="1:8" ht="15.75" customHeight="1" x14ac:dyDescent="0.2">
      <c r="A4" s="43"/>
      <c r="B4" s="43"/>
      <c r="C4" s="43"/>
      <c r="D4" s="43"/>
      <c r="E4" s="43"/>
      <c r="F4" s="43"/>
      <c r="G4" s="43"/>
      <c r="H4" s="43"/>
    </row>
    <row r="5" spans="1:8" ht="15.75" customHeight="1" x14ac:dyDescent="0.2">
      <c r="A5" s="43"/>
      <c r="B5" s="68" t="s">
        <v>199</v>
      </c>
      <c r="C5" s="53"/>
      <c r="D5" s="53"/>
      <c r="E5" s="53"/>
      <c r="F5" s="43"/>
      <c r="G5" s="43"/>
      <c r="H5" s="43"/>
    </row>
    <row r="6" spans="1:8" ht="15.75" customHeight="1" x14ac:dyDescent="0.2">
      <c r="A6" s="43"/>
      <c r="B6" s="53"/>
      <c r="C6" s="53"/>
      <c r="D6" s="53"/>
      <c r="E6" s="53"/>
      <c r="F6" s="43"/>
      <c r="G6" s="43"/>
      <c r="H6" s="43"/>
    </row>
    <row r="7" spans="1:8" ht="15.75" customHeight="1" x14ac:dyDescent="0.2">
      <c r="A7" s="43"/>
      <c r="B7" s="53"/>
      <c r="C7" s="53"/>
      <c r="D7" s="53"/>
      <c r="E7" s="53"/>
      <c r="F7" s="43"/>
      <c r="G7" s="43"/>
      <c r="H7" s="43"/>
    </row>
    <row r="8" spans="1:8" ht="15.75" customHeight="1" x14ac:dyDescent="0.2">
      <c r="A8" s="43"/>
      <c r="B8" s="43"/>
      <c r="C8" s="43"/>
      <c r="D8" s="43"/>
      <c r="E8" s="43"/>
      <c r="F8" s="43"/>
      <c r="G8" s="43"/>
      <c r="H8" s="43"/>
    </row>
    <row r="9" spans="1:8" ht="15.75" customHeight="1" x14ac:dyDescent="0.2">
      <c r="A9" s="43"/>
      <c r="B9" s="49" t="s">
        <v>116</v>
      </c>
      <c r="C9" s="49" t="s">
        <v>200</v>
      </c>
      <c r="D9" s="49" t="s">
        <v>201</v>
      </c>
      <c r="E9" s="43"/>
      <c r="F9" s="43"/>
      <c r="G9" s="43"/>
      <c r="H9" s="43"/>
    </row>
    <row r="10" spans="1:8" ht="15.75" customHeight="1" x14ac:dyDescent="0.2">
      <c r="A10" s="43"/>
      <c r="B10" s="49" t="s">
        <v>202</v>
      </c>
      <c r="C10" s="49">
        <v>3</v>
      </c>
      <c r="D10" s="49" t="str">
        <f>IF(C10&gt;=4,"Yes","No")</f>
        <v>No</v>
      </c>
      <c r="E10" s="43"/>
      <c r="F10" s="43"/>
      <c r="G10" s="43"/>
      <c r="H10" s="43"/>
    </row>
    <row r="11" spans="1:8" ht="15.75" customHeight="1" x14ac:dyDescent="0.2">
      <c r="A11" s="43"/>
      <c r="B11" s="49" t="s">
        <v>203</v>
      </c>
      <c r="C11" s="49">
        <v>4</v>
      </c>
      <c r="D11" s="49" t="str">
        <f t="shared" ref="D11:D13" si="0">IF(C11&gt;=4,"Yes","No")</f>
        <v>Yes</v>
      </c>
      <c r="E11" s="43"/>
      <c r="F11" s="43"/>
      <c r="G11" s="43"/>
      <c r="H11" s="43"/>
    </row>
    <row r="12" spans="1:8" ht="15.75" customHeight="1" x14ac:dyDescent="0.2">
      <c r="A12" s="43"/>
      <c r="B12" s="49" t="s">
        <v>204</v>
      </c>
      <c r="C12" s="49">
        <v>2</v>
      </c>
      <c r="D12" s="49" t="str">
        <f t="shared" si="0"/>
        <v>No</v>
      </c>
      <c r="E12" s="43"/>
      <c r="F12" s="43"/>
      <c r="G12" s="43"/>
      <c r="H12" s="43"/>
    </row>
    <row r="13" spans="1:8" ht="15.75" customHeight="1" x14ac:dyDescent="0.2">
      <c r="A13" s="43"/>
      <c r="B13" s="49" t="s">
        <v>205</v>
      </c>
      <c r="C13" s="49">
        <v>1</v>
      </c>
      <c r="D13" s="49" t="str">
        <f t="shared" si="0"/>
        <v>No</v>
      </c>
      <c r="E13" s="43"/>
      <c r="F13" s="43"/>
      <c r="G13" s="43"/>
      <c r="H13" s="43"/>
    </row>
    <row r="14" spans="1:8" ht="15.75" customHeight="1" x14ac:dyDescent="0.2">
      <c r="A14" s="43"/>
      <c r="B14" s="43"/>
      <c r="C14" s="43"/>
      <c r="D14" s="43"/>
      <c r="E14" s="43"/>
      <c r="F14" s="43"/>
      <c r="G14" s="43"/>
      <c r="H14" s="43"/>
    </row>
    <row r="15" spans="1:8" ht="15.75" customHeight="1" x14ac:dyDescent="0.2">
      <c r="A15" s="43"/>
      <c r="B15" s="48" t="s">
        <v>206</v>
      </c>
      <c r="C15" s="43"/>
      <c r="D15" s="43"/>
      <c r="E15" s="43"/>
      <c r="F15" s="43"/>
      <c r="G15" s="43"/>
      <c r="H15" s="43"/>
    </row>
    <row r="16" spans="1:8" ht="15.75" customHeight="1" x14ac:dyDescent="0.2">
      <c r="A16" s="43"/>
      <c r="B16" s="45" t="s">
        <v>207</v>
      </c>
      <c r="C16" s="43"/>
      <c r="D16" s="43"/>
      <c r="E16" s="43"/>
      <c r="F16" s="43"/>
      <c r="G16" s="43"/>
      <c r="H16" s="43"/>
    </row>
    <row r="17" spans="1:8" ht="15.75" customHeight="1" x14ac:dyDescent="0.2">
      <c r="A17" s="43"/>
      <c r="B17" s="43"/>
      <c r="C17" s="43"/>
      <c r="D17" s="43"/>
      <c r="E17" s="43"/>
      <c r="F17" s="43"/>
      <c r="G17" s="43"/>
      <c r="H17" s="43"/>
    </row>
    <row r="18" spans="1:8" ht="15.75" customHeight="1" x14ac:dyDescent="0.2">
      <c r="A18" s="43"/>
      <c r="B18" s="45" t="s">
        <v>208</v>
      </c>
      <c r="C18" s="43"/>
      <c r="D18" s="43"/>
      <c r="E18" s="43"/>
      <c r="F18" s="43"/>
      <c r="G18" s="43"/>
      <c r="H18" s="43"/>
    </row>
    <row r="19" spans="1:8" ht="15.75" customHeight="1" x14ac:dyDescent="0.2">
      <c r="A19" s="43"/>
      <c r="B19" s="45" t="s">
        <v>209</v>
      </c>
      <c r="C19" s="43"/>
      <c r="D19" s="43"/>
      <c r="E19" s="43"/>
      <c r="F19" s="43"/>
      <c r="G19" s="43"/>
      <c r="H19" s="43"/>
    </row>
    <row r="20" spans="1:8" ht="15.75" customHeight="1" x14ac:dyDescent="0.2">
      <c r="A20" s="43"/>
      <c r="B20" s="45" t="s">
        <v>0</v>
      </c>
      <c r="C20" s="43"/>
      <c r="D20" s="43"/>
      <c r="E20" s="43"/>
      <c r="F20" s="43"/>
      <c r="G20" s="43"/>
      <c r="H20" s="43"/>
    </row>
    <row r="21" spans="1:8" ht="15.75" customHeight="1" x14ac:dyDescent="0.2">
      <c r="A21" s="43"/>
      <c r="B21" s="50" t="s">
        <v>2</v>
      </c>
      <c r="C21" s="50" t="s">
        <v>210</v>
      </c>
      <c r="D21" s="50" t="s">
        <v>211</v>
      </c>
      <c r="E21" s="43"/>
      <c r="F21" s="43"/>
      <c r="G21" s="43"/>
      <c r="H21" s="43"/>
    </row>
    <row r="22" spans="1:8" ht="15.75" customHeight="1" x14ac:dyDescent="0.2">
      <c r="A22" s="43"/>
      <c r="B22" s="49">
        <v>1</v>
      </c>
      <c r="C22" s="51">
        <v>0.70499999999999996</v>
      </c>
      <c r="D22" s="43" t="str">
        <f>IF(C22&gt;=90%,"A",IF(AND(C22&gt;=60%,C22&lt;90%),"S","U"))</f>
        <v>S</v>
      </c>
      <c r="E22" s="43"/>
      <c r="F22" s="43"/>
      <c r="G22" s="43"/>
      <c r="H22" s="43"/>
    </row>
    <row r="23" spans="1:8" ht="15.75" customHeight="1" x14ac:dyDescent="0.2">
      <c r="A23" s="43"/>
      <c r="B23" s="49">
        <v>2</v>
      </c>
      <c r="C23" s="51">
        <v>0.9546</v>
      </c>
      <c r="D23" s="43" t="str">
        <f t="shared" ref="D23:D27" si="1">IF(C23&gt;=90%,"A",IF(AND(C23&gt;=60%,C23&lt;90%),"S","U"))</f>
        <v>A</v>
      </c>
      <c r="E23" s="43"/>
      <c r="F23" s="43"/>
      <c r="G23" s="43"/>
      <c r="H23" s="43"/>
    </row>
    <row r="24" spans="1:8" ht="15.75" customHeight="1" x14ac:dyDescent="0.2">
      <c r="A24" s="43"/>
      <c r="B24" s="49">
        <v>3</v>
      </c>
      <c r="C24" s="51">
        <v>0.55889999999999995</v>
      </c>
      <c r="D24" s="43" t="str">
        <f t="shared" si="1"/>
        <v>U</v>
      </c>
      <c r="E24" s="43"/>
      <c r="F24" s="43"/>
      <c r="G24" s="43"/>
      <c r="H24" s="43"/>
    </row>
    <row r="25" spans="1:8" ht="15.75" customHeight="1" x14ac:dyDescent="0.2">
      <c r="A25" s="43"/>
      <c r="B25" s="49">
        <v>4</v>
      </c>
      <c r="C25" s="51">
        <v>0.80230000000000001</v>
      </c>
      <c r="D25" s="43" t="str">
        <f t="shared" si="1"/>
        <v>S</v>
      </c>
      <c r="E25" s="43"/>
      <c r="F25" s="43"/>
      <c r="G25" s="43"/>
      <c r="H25" s="43"/>
    </row>
    <row r="26" spans="1:8" ht="15.75" customHeight="1" x14ac:dyDescent="0.2">
      <c r="A26" s="43"/>
      <c r="B26" s="49">
        <v>5</v>
      </c>
      <c r="C26" s="51">
        <v>0.60250000000000004</v>
      </c>
      <c r="D26" s="43" t="str">
        <f t="shared" si="1"/>
        <v>S</v>
      </c>
      <c r="E26" s="43"/>
      <c r="F26" s="43"/>
      <c r="G26" s="43"/>
      <c r="H26" s="43"/>
    </row>
    <row r="27" spans="1:8" ht="15.75" customHeight="1" x14ac:dyDescent="0.2">
      <c r="A27" s="43"/>
      <c r="B27" s="49">
        <v>6</v>
      </c>
      <c r="C27" s="51">
        <v>0.90749999999999997</v>
      </c>
      <c r="D27" s="43" t="str">
        <f t="shared" si="1"/>
        <v>A</v>
      </c>
      <c r="E27" s="43"/>
      <c r="F27" s="43"/>
      <c r="G27" s="43"/>
      <c r="H27" s="43"/>
    </row>
    <row r="28" spans="1:8" ht="15.75" customHeight="1" x14ac:dyDescent="0.2">
      <c r="A28" s="43"/>
      <c r="B28" s="43"/>
      <c r="C28" s="43"/>
      <c r="D28" s="43"/>
      <c r="E28" s="43"/>
      <c r="F28" s="43"/>
      <c r="G28" s="43"/>
      <c r="H28" s="43"/>
    </row>
    <row r="29" spans="1:8" ht="15.75" customHeight="1" x14ac:dyDescent="0.2">
      <c r="A29" s="43"/>
      <c r="B29" s="48" t="s">
        <v>212</v>
      </c>
      <c r="C29" s="43"/>
      <c r="D29" s="43"/>
      <c r="E29" s="43"/>
      <c r="F29" s="43"/>
      <c r="G29" s="43"/>
      <c r="H29" s="43"/>
    </row>
    <row r="30" spans="1:8" ht="15.75" customHeight="1" x14ac:dyDescent="0.2">
      <c r="A30" s="43"/>
      <c r="B30" s="45" t="s">
        <v>213</v>
      </c>
      <c r="C30" s="43"/>
      <c r="D30" s="43"/>
      <c r="E30" s="43"/>
      <c r="F30" s="43"/>
      <c r="G30" s="43"/>
      <c r="H30" s="43"/>
    </row>
    <row r="31" spans="1:8" ht="15.75" customHeight="1" x14ac:dyDescent="0.2">
      <c r="A31" s="43"/>
      <c r="B31" s="43"/>
      <c r="C31" s="43"/>
      <c r="D31" s="43"/>
      <c r="E31" s="43"/>
      <c r="F31" s="43"/>
      <c r="G31" s="43"/>
      <c r="H31" s="43"/>
    </row>
    <row r="32" spans="1:8" ht="15.75" customHeight="1" x14ac:dyDescent="0.2">
      <c r="A32" s="43"/>
      <c r="B32" s="45" t="s">
        <v>214</v>
      </c>
      <c r="C32" s="43"/>
      <c r="D32" s="43"/>
      <c r="E32" s="43"/>
      <c r="F32" s="43"/>
      <c r="G32" s="43"/>
      <c r="H32" s="43"/>
    </row>
    <row r="33" spans="1:8" ht="15.75" customHeight="1" x14ac:dyDescent="0.2">
      <c r="A33" s="43"/>
      <c r="B33" s="45" t="s">
        <v>215</v>
      </c>
      <c r="C33" s="43"/>
      <c r="D33" s="43"/>
      <c r="E33" s="43"/>
      <c r="F33" s="43"/>
      <c r="G33" s="43"/>
      <c r="H33" s="43"/>
    </row>
    <row r="34" spans="1:8" ht="15.75" customHeight="1" x14ac:dyDescent="0.2">
      <c r="A34" s="43"/>
      <c r="B34" s="43"/>
      <c r="C34" s="43"/>
      <c r="D34" s="43"/>
      <c r="E34" s="43"/>
      <c r="F34" s="43"/>
      <c r="G34" s="43"/>
      <c r="H34" s="43"/>
    </row>
    <row r="35" spans="1:8" ht="15.75" customHeight="1" x14ac:dyDescent="0.2">
      <c r="A35" s="43"/>
      <c r="B35" s="50" t="s">
        <v>2</v>
      </c>
      <c r="C35" s="50" t="s">
        <v>216</v>
      </c>
      <c r="D35" s="50" t="s">
        <v>217</v>
      </c>
      <c r="E35" s="50" t="s">
        <v>218</v>
      </c>
      <c r="F35" s="50" t="s">
        <v>219</v>
      </c>
      <c r="G35" s="50" t="s">
        <v>220</v>
      </c>
      <c r="H35" s="43"/>
    </row>
    <row r="36" spans="1:8" ht="15.75" customHeight="1" x14ac:dyDescent="0.2">
      <c r="A36" s="43"/>
      <c r="B36" s="49">
        <v>1</v>
      </c>
      <c r="C36" s="49">
        <v>87</v>
      </c>
      <c r="D36" s="49">
        <v>95</v>
      </c>
      <c r="E36" s="49">
        <v>83</v>
      </c>
      <c r="F36" s="49">
        <v>80</v>
      </c>
      <c r="G36" s="49">
        <f>IF(OR(C36&gt;=95,D36&gt;=95,E36&gt;=95,F36&gt;=95),SUM(C36:F36)*1%,0)</f>
        <v>3.45</v>
      </c>
      <c r="H36" s="43"/>
    </row>
    <row r="37" spans="1:8" ht="15.75" customHeight="1" x14ac:dyDescent="0.2">
      <c r="A37" s="43"/>
      <c r="B37" s="49">
        <v>2</v>
      </c>
      <c r="C37" s="49">
        <v>77</v>
      </c>
      <c r="D37" s="49">
        <v>72</v>
      </c>
      <c r="E37" s="49">
        <v>74</v>
      </c>
      <c r="F37" s="49">
        <v>97</v>
      </c>
      <c r="G37" s="49">
        <f t="shared" ref="G37:G41" si="2">IF(OR(C37&gt;=95,D37&gt;=95,E37&gt;=95,F37&gt;=95),SUM(C37:F37)*1%,0)</f>
        <v>3.2</v>
      </c>
      <c r="H37" s="43"/>
    </row>
    <row r="38" spans="1:8" ht="15.75" customHeight="1" x14ac:dyDescent="0.2">
      <c r="A38" s="43"/>
      <c r="B38" s="49">
        <v>3</v>
      </c>
      <c r="C38" s="49">
        <v>80</v>
      </c>
      <c r="D38" s="49">
        <v>95</v>
      </c>
      <c r="E38" s="49">
        <v>79</v>
      </c>
      <c r="F38" s="49">
        <v>75</v>
      </c>
      <c r="G38" s="49">
        <f t="shared" si="2"/>
        <v>3.29</v>
      </c>
      <c r="H38" s="43"/>
    </row>
    <row r="39" spans="1:8" ht="15.75" customHeight="1" x14ac:dyDescent="0.2">
      <c r="A39" s="43"/>
      <c r="B39" s="49">
        <v>4</v>
      </c>
      <c r="C39" s="49">
        <v>82</v>
      </c>
      <c r="D39" s="49">
        <v>87</v>
      </c>
      <c r="E39" s="49">
        <v>96</v>
      </c>
      <c r="F39" s="49">
        <v>88</v>
      </c>
      <c r="G39" s="49">
        <f t="shared" si="2"/>
        <v>3.5300000000000002</v>
      </c>
      <c r="H39" s="43"/>
    </row>
    <row r="40" spans="1:8" ht="15.75" customHeight="1" x14ac:dyDescent="0.2">
      <c r="A40" s="43"/>
      <c r="B40" s="49">
        <v>5</v>
      </c>
      <c r="C40" s="49">
        <v>78</v>
      </c>
      <c r="D40" s="49">
        <v>94</v>
      </c>
      <c r="E40" s="49">
        <v>81</v>
      </c>
      <c r="F40" s="49">
        <v>79</v>
      </c>
      <c r="G40" s="49">
        <f t="shared" si="2"/>
        <v>0</v>
      </c>
      <c r="H40" s="43"/>
    </row>
    <row r="41" spans="1:8" ht="15.75" customHeight="1" x14ac:dyDescent="0.2">
      <c r="A41" s="43"/>
      <c r="B41" s="49">
        <v>6</v>
      </c>
      <c r="C41" s="49">
        <v>75</v>
      </c>
      <c r="D41" s="49">
        <v>83</v>
      </c>
      <c r="E41" s="49">
        <v>80</v>
      </c>
      <c r="F41" s="49">
        <v>72</v>
      </c>
      <c r="G41" s="49">
        <f t="shared" si="2"/>
        <v>0</v>
      </c>
      <c r="H41" s="43"/>
    </row>
    <row r="42" spans="1:8" ht="15.75" customHeight="1" x14ac:dyDescent="0.2">
      <c r="A42" s="43"/>
      <c r="B42" s="43"/>
      <c r="C42" s="43"/>
      <c r="D42" s="43"/>
      <c r="E42" s="43"/>
      <c r="F42" s="43"/>
      <c r="G42" s="43"/>
      <c r="H42" s="43"/>
    </row>
    <row r="43" spans="1:8" ht="15.75" customHeight="1" x14ac:dyDescent="0.2">
      <c r="A43" s="43"/>
      <c r="B43" s="43"/>
      <c r="C43" s="43"/>
      <c r="D43" s="43"/>
      <c r="E43" s="43"/>
      <c r="F43" s="43"/>
      <c r="G43" s="43"/>
      <c r="H43" s="43"/>
    </row>
  </sheetData>
  <mergeCells count="1">
    <mergeCell ref="B5:E7"/>
  </mergeCells>
  <pageMargins left="0.7" right="0.7" top="0.75" bottom="0.75" header="0" footer="0"/>
  <pageSetup orientation="landscape"/>
  <ignoredErrors>
    <ignoredError sqref="G36:G4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9"/>
  <sheetViews>
    <sheetView showGridLines="0" workbookViewId="0">
      <selection activeCell="F10" sqref="F10"/>
    </sheetView>
  </sheetViews>
  <sheetFormatPr defaultColWidth="12.5703125" defaultRowHeight="15" customHeight="1" x14ac:dyDescent="0.2"/>
  <cols>
    <col min="1" max="1" width="14.42578125" customWidth="1"/>
    <col min="2" max="9" width="7.85546875" customWidth="1"/>
    <col min="10" max="10" width="14.42578125" customWidth="1"/>
  </cols>
  <sheetData>
    <row r="1" spans="1:9" ht="15.75" customHeight="1" x14ac:dyDescent="0.2"/>
    <row r="2" spans="1:9" ht="15.75" customHeight="1" x14ac:dyDescent="0.2">
      <c r="A2" s="2" t="s">
        <v>221</v>
      </c>
    </row>
    <row r="3" spans="1:9" ht="15.75" customHeight="1" x14ac:dyDescent="0.2"/>
    <row r="4" spans="1:9" ht="15.75" customHeight="1" x14ac:dyDescent="0.2"/>
    <row r="5" spans="1:9" ht="15.75" customHeight="1" x14ac:dyDescent="0.2">
      <c r="B5" s="69" t="s">
        <v>222</v>
      </c>
      <c r="C5" s="70"/>
      <c r="D5" s="70"/>
      <c r="E5" s="70"/>
      <c r="F5" s="70"/>
      <c r="G5" s="70"/>
      <c r="H5" s="70"/>
      <c r="I5" s="71"/>
    </row>
    <row r="6" spans="1:9" ht="15.75" customHeight="1" x14ac:dyDescent="0.2">
      <c r="B6" s="72"/>
      <c r="C6" s="53"/>
      <c r="D6" s="53"/>
      <c r="E6" s="53"/>
      <c r="F6" s="53"/>
      <c r="G6" s="53"/>
      <c r="H6" s="53"/>
      <c r="I6" s="73"/>
    </row>
    <row r="7" spans="1:9" ht="15.75" customHeight="1" x14ac:dyDescent="0.2">
      <c r="B7" s="74"/>
      <c r="C7" s="75"/>
      <c r="D7" s="75"/>
      <c r="E7" s="75"/>
      <c r="F7" s="75"/>
      <c r="G7" s="75"/>
      <c r="H7" s="75"/>
      <c r="I7" s="76"/>
    </row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>
      <c r="A12" s="2" t="s">
        <v>223</v>
      </c>
      <c r="F12" s="78"/>
    </row>
    <row r="13" spans="1:9" ht="15.75" customHeight="1" x14ac:dyDescent="0.25">
      <c r="A13" s="2" t="s">
        <v>224</v>
      </c>
      <c r="D13" s="79" t="s">
        <v>226</v>
      </c>
    </row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</sheetData>
  <mergeCells count="1">
    <mergeCell ref="B5:I7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Sorting</vt:lpstr>
      <vt:lpstr>Data Filtering</vt:lpstr>
      <vt:lpstr>Conditional Format</vt:lpstr>
      <vt:lpstr>Data Validation</vt:lpstr>
      <vt:lpstr>COUNTIFS &amp; SUMIFS - Part 1</vt:lpstr>
      <vt:lpstr>COUNTIFS &amp; SUMIFS - Part 2</vt:lpstr>
      <vt:lpstr>VLOOKUP</vt:lpstr>
      <vt:lpstr>IF Functions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</dc:creator>
  <cp:lastModifiedBy>Emerald Oludunsin</cp:lastModifiedBy>
  <cp:lastPrinted>2026-01-31T17:00:31Z</cp:lastPrinted>
  <dcterms:created xsi:type="dcterms:W3CDTF">2021-05-19T22:22:42Z</dcterms:created>
  <dcterms:modified xsi:type="dcterms:W3CDTF">2026-01-31T17:08:11Z</dcterms:modified>
</cp:coreProperties>
</file>